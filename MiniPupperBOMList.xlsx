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0814" sheetId="1" r:id="rId4"/>
  </sheets>
  <definedNames/>
  <calcPr/>
  <extLst>
    <ext uri="GoogleSheetsCustomDataVersion1">
      <go:sheetsCustomData xmlns:go="http://customooxmlschemas.google.com/" r:id="rId5" roundtripDataSignature="AMtx7mglPFYQvE9WxvAgW3f0bj393uuu2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49">
      <text>
        <t xml:space="preserve">FDM&amp;PLA
======</t>
      </text>
    </comment>
    <comment authorId="0" ref="L49">
      <text>
        <t xml:space="preserve">SLS&amp;Nylon&amp;PA12
======</t>
      </text>
    </comment>
    <comment authorId="0" ref="I49">
      <text>
        <t xml:space="preserve">======
ID#AAAAMXaJ62o
Nathan Kau    (2021-05-17 19:58:59)
What 3d printing method did you use for this cost estimation? SLS might be cheaper
------
ID#AAAAIiD-daM
MangDang    (2021-05-17 23:19:30)
I tried PLA(FDM). SLS seems a little more expensive, I will compare the detail price late....</t>
      </text>
    </comment>
  </commentList>
  <extLst>
    <ext uri="GoogleSheetsCustomDataVersion1">
      <go:sheetsCustomData xmlns:go="http://customooxmlschemas.google.com/" r:id="rId1" roundtripDataSignature="AMtx7mhMnyqBtrTlsY33wHjKc/WXPpo+LA=="/>
    </ext>
  </extLst>
</comments>
</file>

<file path=xl/sharedStrings.xml><?xml version="1.0" encoding="utf-8"?>
<sst xmlns="http://schemas.openxmlformats.org/spreadsheetml/2006/main" count="172" uniqueCount="136">
  <si>
    <t>If you purchase the parts yourself one by one, it’ll run you about $700 and more time. However, you can purchase a kit to build the robot from MangDang channel for cheaper and one-stop shopping.</t>
  </si>
  <si>
    <t>Link to project page: https://github.com/mangdangroboticsclub</t>
  </si>
  <si>
    <t>Mini Pupper BOM</t>
  </si>
  <si>
    <t>No.</t>
  </si>
  <si>
    <t>Category</t>
  </si>
  <si>
    <t>Item</t>
  </si>
  <si>
    <t>Units</t>
  </si>
  <si>
    <t>Description</t>
  </si>
  <si>
    <t>Unit cost</t>
  </si>
  <si>
    <t>Price</t>
  </si>
  <si>
    <t>Line total</t>
  </si>
  <si>
    <t>Link / Vendor</t>
  </si>
  <si>
    <t>Notes</t>
  </si>
  <si>
    <t>MangDang 
Custom Parts</t>
  </si>
  <si>
    <t>Customized Servo</t>
  </si>
  <si>
    <t>Custom servo</t>
  </si>
  <si>
    <t>mail to sales@mangdang.net</t>
  </si>
  <si>
    <t>We recommend 1-3 spares, 1 spare in Kickstarter Default Package</t>
  </si>
  <si>
    <t>Cusomized PCBA</t>
  </si>
  <si>
    <t>Including a fan</t>
  </si>
  <si>
    <t xml:space="preserve"> </t>
  </si>
  <si>
    <t>LCD Display</t>
  </si>
  <si>
    <t>LCD Display Board</t>
  </si>
  <si>
    <t>including a speaker</t>
  </si>
  <si>
    <t>Leg_Arm_Lower</t>
  </si>
  <si>
    <t>Custom metal servo horns</t>
  </si>
  <si>
    <t>Leg_Arm_Upper</t>
  </si>
  <si>
    <t>Body and Legs
Carbon fiber</t>
  </si>
  <si>
    <t>Plate_Bottom</t>
  </si>
  <si>
    <t>$20</t>
  </si>
  <si>
    <t>Plate_Top</t>
  </si>
  <si>
    <t>Leg_Upper</t>
  </si>
  <si>
    <t>Leg_Lower</t>
  </si>
  <si>
    <t>Link_ShortRod</t>
  </si>
  <si>
    <t>Link_RockerArm</t>
  </si>
  <si>
    <r>
      <rPr>
        <rFont val="Arial"/>
        <color theme="1"/>
        <sz val="10.0"/>
      </rPr>
      <t xml:space="preserve">Material: Carbon fiber. </t>
    </r>
    <r>
      <rPr>
        <rFont val="Arial"/>
        <b/>
        <color theme="1"/>
        <sz val="10.0"/>
      </rPr>
      <t>Without support, you can make them yourself as well.</t>
    </r>
  </si>
  <si>
    <t>Hardware</t>
  </si>
  <si>
    <t>Ball ends</t>
  </si>
  <si>
    <t>M2/2mm 15mm Linkage Rod End</t>
  </si>
  <si>
    <t>$7.49 per 2</t>
  </si>
  <si>
    <t>https://www.amazon.com/uxcell-Linkage-Joint-Adapter-Crawler/dp/B07Q2XT753/ref=sr_1_16?dchild=1&amp;keywords=m2+ball+end&amp;qid=1617956099&amp;sr=8-16</t>
  </si>
  <si>
    <t>Threaded rod</t>
  </si>
  <si>
    <t>M2x35mm Double End Thread Rod</t>
  </si>
  <si>
    <t>$18.26 per 10</t>
  </si>
  <si>
    <t>https://www.amazon.com/dp/B08XPFBYM2/ref=twister_B08XPHRJWW?_encoding=UTF8&amp;psc=1</t>
  </si>
  <si>
    <t>Thrust Bearing</t>
  </si>
  <si>
    <t>F2-6M Thrust Ball Bearings 2mm x 6mm x 3mm</t>
  </si>
  <si>
    <t>$7.99 per 5</t>
  </si>
  <si>
    <t>https://www.amazon.com/uxcell-Miniature-Thrust-Bearings-Washers/dp/B082PQS8TJ/ref=sr_1_3?dchild=1&amp;keywords=2mm+Thrust+Bearing&amp;qid=1617958532&amp;sr=8-3</t>
  </si>
  <si>
    <t>Ab/adduction axle bearings</t>
  </si>
  <si>
    <t>693ZZ  3mm x 8mm x 4mm Bearing</t>
  </si>
  <si>
    <t>$7.99 per 10</t>
  </si>
  <si>
    <t>$10.99 per 10</t>
  </si>
  <si>
    <t>https://www.amazon.com/Bearing-3x8x4mm-Dental-Grinding-Bearings/dp/B08CMXJV5R/ref=sr_1_2_sspa?dchild=1&amp;keywords=693ZZ+Bearing&amp;qid=1617958827&amp;sr=8-2-spons&amp;psc=1&amp;spLa=ZW5jcnlwdGVkUXVhbGlmaWVyPUEyV05LUlpCV1JGNjA1JmVuY3J5cHRlZElkPUEwNTE5OTg1M0g1QTU2VzI4NUtVVSZlbmNyeXB0ZWRBZElkPUEwMDg5OTc5MkhITlNLUDUwQ1VVTiZ3aWRnZXROYW1lPXNwX2F0ZiZhY3Rpb249Y2xpY2tSZWRpcmVjdCZkb05vdExvZ0NsaWNrPXRydWU=</t>
  </si>
  <si>
    <t>Flanged Ball Bearing</t>
  </si>
  <si>
    <t>F682ZZ Flanged Ball Bearing 2x5x2.3mm</t>
  </si>
  <si>
    <t>https://www.amazon.com/uxcell-Bearing-2x5x2-3mm-Shielded-Bearings/dp/B07Z3C3QTH/ref=sr_1_1_sspa?dchild=1&amp;keywords=F682zz&amp;qid=1617959174&amp;sr=8-1-spons&amp;psc=1&amp;spLa=ZW5jcnlwdGVkUXVhbGlmaWVyPUExNVhPRDBMMkQwR09IJmVuY3J5cHRlZElkPUExMDM0MDA1MzRPOTBDNTVCVzlKTSZlbmNyeXB0ZWRBZElkPUEwMDY3NjM1VzQyTlpPVlZGNjYmd2lkZ2V0TmFtZT1zcF9hdGYmYWN0aW9uPWNsaWNrUmVkaXJlY3QmZG9Ob3RMb2dDbGljaz10cnVl</t>
  </si>
  <si>
    <t>Standoff</t>
  </si>
  <si>
    <t>Female Standoff 2*18mm</t>
  </si>
  <si>
    <t>$13.88 per 320</t>
  </si>
  <si>
    <t>https://www.amazon.com/Litorange-320PCS-Standoff-Assorted-Assortment/dp/B07D78PFQL/ref=sr_1_4?dchild=1&amp;keywords=M2+standoff&amp;qid=1617959979&amp;sr=8-4</t>
  </si>
  <si>
    <t>Male Female Standoff M2*10+6mm</t>
  </si>
  <si>
    <t>M2 Insert</t>
  </si>
  <si>
    <t>M2*4mm</t>
  </si>
  <si>
    <t>$9.38 per 50</t>
  </si>
  <si>
    <t>94459A120</t>
  </si>
  <si>
    <t>M3 Insert</t>
  </si>
  <si>
    <t>M3*4mm</t>
  </si>
  <si>
    <t>$10.00 per 50</t>
  </si>
  <si>
    <t>94459A130</t>
  </si>
  <si>
    <t>M1.4 Insert</t>
  </si>
  <si>
    <t>M1.4*3mm</t>
  </si>
  <si>
    <t>$14.38 per 100</t>
  </si>
  <si>
    <t>92120A140</t>
  </si>
  <si>
    <t>Button Head Hex Drive Screw</t>
  </si>
  <si>
    <t>M2X4mm</t>
  </si>
  <si>
    <t>M2X5mm</t>
  </si>
  <si>
    <t>$8.39 per 50</t>
  </si>
  <si>
    <t>91239A701</t>
  </si>
  <si>
    <t>M2X6mm</t>
  </si>
  <si>
    <t>M2X8mm</t>
  </si>
  <si>
    <t>$8.85 per 50</t>
  </si>
  <si>
    <t>91239A705</t>
  </si>
  <si>
    <t>M2X10mm</t>
  </si>
  <si>
    <t>$9.13 per50</t>
  </si>
  <si>
    <t>91239A706</t>
  </si>
  <si>
    <t>M2X12mm</t>
  </si>
  <si>
    <t>$7.52 per 10</t>
  </si>
  <si>
    <t>91239A707</t>
  </si>
  <si>
    <t>M2X14mm</t>
  </si>
  <si>
    <t xml:space="preserve"> M2 Locknut</t>
  </si>
  <si>
    <t>$8.05 per 10</t>
  </si>
  <si>
    <t>93625A101</t>
  </si>
  <si>
    <t>Self Tapping Screw</t>
  </si>
  <si>
    <t>$8.57 per 100</t>
  </si>
  <si>
    <t>94209A343</t>
  </si>
  <si>
    <t>M1.4 Screws</t>
  </si>
  <si>
    <r>
      <rPr>
        <rFont val="Arial"/>
        <color theme="1"/>
        <sz val="12.0"/>
      </rPr>
      <t>M1.4X(2.8~</t>
    </r>
    <r>
      <rPr>
        <rFont val="Arial"/>
        <b/>
        <color theme="1"/>
        <sz val="12.0"/>
      </rPr>
      <t>3</t>
    </r>
    <r>
      <rPr>
        <rFont val="Arial"/>
        <color theme="1"/>
        <sz val="12.0"/>
      </rPr>
      <t>)mm</t>
    </r>
  </si>
  <si>
    <t>https://www.amazon.com/outstanding-Electronics-Assortment-Screwdriver-Electronic/dp/B08GPH53Y3/ref=sr_1_4?dchild=1&amp;keywords=M1.4+Screw&amp;qid=1618066687&amp;s=hi&amp;sr=1-4</t>
  </si>
  <si>
    <t>Button Head Hex Drive Screws</t>
  </si>
  <si>
    <t>M3X8mm</t>
  </si>
  <si>
    <t>$7.00 per 10</t>
  </si>
  <si>
    <t>97763A813</t>
  </si>
  <si>
    <t xml:space="preserve"> The up parts are necessary for "Research Basic Kit".</t>
  </si>
  <si>
    <t>3D Printed Basic Package</t>
  </si>
  <si>
    <t>Body_Front</t>
  </si>
  <si>
    <t>If you want to print the 3D parts by self, please refer to the below source files:
https://drive.google.com/drive/folders/12FDFbZzO61Euh8pJI9oCxN-eLVm5zjyi</t>
  </si>
  <si>
    <t>Price comes from https://www.3dhubs.com
Only for reference</t>
  </si>
  <si>
    <t>Body_Middle</t>
  </si>
  <si>
    <t>Body_Back</t>
  </si>
  <si>
    <t>Hip_Front_Right</t>
  </si>
  <si>
    <t>Hip_Front_Left</t>
  </si>
  <si>
    <t>Hip_Back_Right</t>
  </si>
  <si>
    <t>Hip_Back_Left</t>
  </si>
  <si>
    <t>Shell_Display_Cover</t>
  </si>
  <si>
    <t>Custom Battery</t>
  </si>
  <si>
    <t xml:space="preserve">1000mAh (5C) 7.4V Li-Polymer battery </t>
  </si>
  <si>
    <t>If you want to print the 3D parts by self, please refer to the below source files(STL.files.for.3Dprint.MiniPupper.zip):
https://drive.google.com/drive/folders/12FDFbZzO61Euh8pJI9oCxN-eLVm5zjyi</t>
  </si>
  <si>
    <t>3D Print Shell Package</t>
  </si>
  <si>
    <t>Shell_Front_TypeD</t>
  </si>
  <si>
    <t>Price comes from https://www.3dhubs.com
Only for reference</t>
  </si>
  <si>
    <t>Shell_Hip_Left</t>
  </si>
  <si>
    <t>Shell_Hip_Right</t>
  </si>
  <si>
    <t>Shell_Leg_Upper_LeftSide</t>
  </si>
  <si>
    <t>Shell_Leg_Upper_RightSide</t>
  </si>
  <si>
    <t>Shell_Side</t>
  </si>
  <si>
    <t>Foot</t>
  </si>
  <si>
    <t xml:space="preserve"> The up parts are necessary for "Research Kit".</t>
  </si>
  <si>
    <t>Controller</t>
  </si>
  <si>
    <t>https://www.amazon.com/DualShock-Wireless-Controller-PlayStation-Midnight-4/dp/B01MD19OI2/ref=sxin_3_osp17-b87b954b_cov?ascsubtag=b87b954b-9312-4d88-bd63-2f6008632660&amp;creativeASIN=B0799976M1&amp;cv_ct_cx=ps4%2Bcontroller&amp;cv_ct_id=amzn1.osp.b87b954b-9312-4d88-bd63-2f6008632660&amp;cv_ct_pg=search&amp;cv_ct_wn=osp-search&amp;keywords=ps4%2Bcontroller&amp;linkCode=oas&amp;pd_rd_i=B0799976M1&amp;pd_rd_r=0ee6b3f8-ad1a-4ef0-80c9-6f3d2c3d9c3d&amp;pd_rd_w=LWB8g&amp;pd_rd_wg=wKPjE&amp;pf_rd_p=eb3e5cda-5ec9-4d94-919d-310a5d641b8b&amp;pf_rd_r=565M9Y9KK508WGDVCK9D&amp;qid=1583211038&amp;tag=digitaltren0b-20&amp;th=1</t>
  </si>
  <si>
    <t>Raspberry Pi 4B/2GB</t>
  </si>
  <si>
    <t>2GB DDR</t>
  </si>
  <si>
    <t>https://www.amazon.com/CanaKit-Raspberry-Basic-Kit-2GB/dp/B07TYK4RL8/ref=sxin_10?ascsubtag=amzn1.osa.1732dc2b-5ea5-49c5-a01c-95dc92acf446.ATVPDKIKX0DER.en_US&amp;creativeASIN=B07TYK4RL8&amp;cv_ct_cx=raspberry+pi+4&amp;cv_ct_id=amzn1.osa.1732dc2b-5ea5-49c5-a01c-95dc92acf446.ATVPDKIKX0DER.en_US&amp;cv_ct_pg=search&amp;cv_ct_wn=osp-single-source-gl-ranking&amp;dchild=1&amp;keywords=raspberry+pi+4&amp;linkCode=oas&amp;pd_rd_i=B07TYK4RL8&amp;pd_rd_r=93450870-ed6a-4391-8f1d-a2694d195d54&amp;pd_rd_w=O9r0P&amp;pd_rd_wg=FreJU&amp;pf_rd_p=26c7e498-3189-4918-a321-ec25e32964ce&amp;pf_rd_r=A67E7NHPV02QK4411MT8&amp;qid=1601623396&amp;sr=1-1-d9dc7690-f7e1-44eb-ad06-aebbef559a37&amp;tag=androidcentralosp-20</t>
  </si>
  <si>
    <t>SD card</t>
  </si>
  <si>
    <t>https://www.amazon.com/SanDisk-Ultra-microSDXC-Memory-Adapter/dp/B073JWXGNT/ref=sr_1_11?dchild=1&amp;keywords=sandisk+sd+card+32GB&amp;qid=1617968957&amp;sr=8-11</t>
  </si>
  <si>
    <t xml:space="preserve"> The up parts are necessary for "Complete Kit".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</si>
</sst>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;\-\$#,##0.00"/>
    <numFmt numFmtId="165" formatCode="\$#,##0.0;\-\$#,##0.0"/>
    <numFmt numFmtId="166" formatCode="&quot;¥&quot;#,##0.0_);[Red]\(&quot;¥&quot;#,##0.0\)"/>
    <numFmt numFmtId="167" formatCode="[$¥-411]#,##0;\-[$¥-411]#,##0"/>
    <numFmt numFmtId="168" formatCode="[$¥-804]#,##0;[$¥-804]\-#,##0"/>
  </numFmts>
  <fonts count="22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/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sz val="12.0"/>
      <color rgb="FF000000"/>
      <name val="Arial"/>
    </font>
    <font>
      <u/>
      <sz val="11.0"/>
      <color theme="1"/>
      <name val="Arial"/>
    </font>
    <font>
      <sz val="10.0"/>
      <color theme="1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0000FF"/>
      <name val="Arial"/>
    </font>
    <font>
      <u/>
      <sz val="11.0"/>
      <color theme="10"/>
      <name val="Arial"/>
    </font>
    <font>
      <u/>
      <sz val="11.0"/>
      <color theme="1"/>
      <name val="Arial"/>
    </font>
    <font>
      <u/>
      <sz val="11.0"/>
      <color theme="10"/>
      <name val="Arial"/>
    </font>
    <font>
      <u/>
      <sz val="11.0"/>
      <color theme="1"/>
      <name val="Arial"/>
    </font>
    <font>
      <u/>
      <sz val="11.0"/>
      <color rgb="FF0000FF"/>
      <name val="Arial"/>
    </font>
    <font>
      <sz val="11.0"/>
      <color theme="1"/>
      <name val="Arial"/>
    </font>
    <font>
      <sz val="12.0"/>
      <color rgb="FF000000"/>
      <name val="华文宋体"/>
    </font>
    <font>
      <u/>
      <sz val="11.0"/>
      <color rgb="FF0563C1"/>
      <name val="等线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right" vertical="center"/>
    </xf>
    <xf borderId="1" fillId="0" fontId="1" numFmtId="0" xfId="0" applyBorder="1" applyFont="1"/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right"/>
    </xf>
    <xf borderId="2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3" fillId="0" fontId="3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left" vertical="center"/>
    </xf>
    <xf borderId="2" fillId="0" fontId="5" numFmtId="164" xfId="0" applyAlignment="1" applyBorder="1" applyFont="1" applyNumberFormat="1">
      <alignment horizontal="right" readingOrder="0" vertical="center"/>
    </xf>
    <xf borderId="2" fillId="0" fontId="1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readingOrder="0" vertical="center"/>
    </xf>
    <xf borderId="1" fillId="0" fontId="6" numFmtId="164" xfId="0" applyAlignment="1" applyBorder="1" applyFont="1" applyNumberFormat="1">
      <alignment horizontal="center" vertical="center"/>
    </xf>
    <xf borderId="4" fillId="0" fontId="3" numFmtId="0" xfId="0" applyBorder="1" applyFont="1"/>
    <xf borderId="4" fillId="0" fontId="7" numFmtId="0" xfId="0" applyAlignment="1" applyBorder="1" applyFont="1">
      <alignment horizontal="center" shrinkToFit="0" wrapText="0"/>
    </xf>
    <xf borderId="5" fillId="0" fontId="7" numFmtId="165" xfId="0" applyAlignment="1" applyBorder="1" applyFont="1" applyNumberFormat="1">
      <alignment horizontal="center" shrinkToFit="0" wrapText="0"/>
    </xf>
    <xf borderId="0" fillId="0" fontId="1" numFmtId="165" xfId="0" applyFont="1" applyNumberFormat="1"/>
    <xf borderId="0" fillId="0" fontId="8" numFmtId="0" xfId="0" applyFont="1"/>
    <xf borderId="1" fillId="0" fontId="1" numFmtId="0" xfId="0" applyAlignment="1" applyBorder="1" applyFont="1">
      <alignment horizontal="center"/>
    </xf>
    <xf borderId="0" fillId="0" fontId="1" numFmtId="166" xfId="0" applyFont="1" applyNumberFormat="1"/>
    <xf borderId="1" fillId="0" fontId="9" numFmtId="0" xfId="0" applyBorder="1" applyFont="1"/>
    <xf borderId="1" fillId="0" fontId="10" numFmtId="164" xfId="0" applyAlignment="1" applyBorder="1" applyFont="1" applyNumberFormat="1">
      <alignment vertical="center"/>
    </xf>
    <xf borderId="1" fillId="0" fontId="11" numFmtId="164" xfId="0" applyAlignment="1" applyBorder="1" applyFont="1" applyNumberFormat="1">
      <alignment horizontal="right" vertical="center"/>
    </xf>
    <xf borderId="1" fillId="0" fontId="12" numFmtId="0" xfId="0" applyBorder="1" applyFont="1"/>
    <xf borderId="1" fillId="0" fontId="13" numFmtId="164" xfId="0" applyBorder="1" applyFont="1" applyNumberFormat="1"/>
    <xf borderId="1" fillId="0" fontId="14" numFmtId="164" xfId="0" applyAlignment="1" applyBorder="1" applyFont="1" applyNumberFormat="1">
      <alignment horizontal="right" vertical="center"/>
    </xf>
    <xf borderId="1" fillId="0" fontId="15" numFmtId="164" xfId="0" applyAlignment="1" applyBorder="1" applyFont="1" applyNumberFormat="1">
      <alignment horizontal="left" vertical="center"/>
    </xf>
    <xf borderId="2" fillId="0" fontId="16" numFmtId="164" xfId="0" applyAlignment="1" applyBorder="1" applyFont="1" applyNumberFormat="1">
      <alignment horizontal="right" vertical="center"/>
    </xf>
    <xf borderId="2" fillId="0" fontId="17" numFmtId="0" xfId="0" applyAlignment="1" applyBorder="1" applyFont="1">
      <alignment horizontal="left" vertical="center"/>
    </xf>
    <xf borderId="0" fillId="0" fontId="1" numFmtId="167" xfId="0" applyFont="1" applyNumberFormat="1"/>
    <xf borderId="0" fillId="0" fontId="1" numFmtId="168" xfId="0" applyFont="1" applyNumberFormat="1"/>
    <xf borderId="1" fillId="0" fontId="18" numFmtId="0" xfId="0" applyBorder="1" applyFont="1"/>
    <xf borderId="6" fillId="2" fontId="1" numFmtId="0" xfId="0" applyAlignment="1" applyBorder="1" applyFill="1" applyFont="1">
      <alignment horizontal="left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0"/>
    </xf>
    <xf borderId="0" fillId="0" fontId="7" numFmtId="165" xfId="0" applyAlignment="1" applyFont="1" applyNumberFormat="1">
      <alignment horizontal="center" shrinkToFit="0" wrapText="0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9" numFmtId="164" xfId="0" applyAlignment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wrapText="0"/>
    </xf>
    <xf borderId="8" fillId="0" fontId="7" numFmtId="165" xfId="0" applyAlignment="1" applyBorder="1" applyFont="1" applyNumberFormat="1">
      <alignment horizontal="center" shrinkToFit="0" wrapText="0"/>
    </xf>
    <xf borderId="2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right" readingOrder="0" vertical="center"/>
    </xf>
    <xf borderId="1" fillId="0" fontId="2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CanaKit-Raspberry-Basic-Kit-2GB/dp/B07TYK4RL8/ref=sxin_10?ascsubtag=amzn1.osa.1732dc2b-5ea5-49c5-a01c-95dc92acf446.ATVPDKIKX0DER.en_US&amp;creativeASIN=B07TYK4RL8&amp;cv_ct_cx=raspberry+pi+4&amp;cv_ct_id=amzn1.osa.1732dc2b-5ea5-49c5-a01c-95dc92acf446.ATVPDKIKX0DER.en_US&amp;cv_ct_pg=search&amp;cv_ct_wn=osp-single-source-gl-ranking&amp;dchild=1&amp;keywords=raspberry+pi+4&amp;linkCode=oas&amp;pd_rd_i=B07TYK4RL8&amp;pd_rd_r=93450870-ed6a-4391-8f1d-a2694d195d54&amp;pd_rd_w=O9r0P&amp;pd_rd_wg=FreJU&amp;pf_rd_p=26c7e498-3189-4918-a321-ec25e32964ce&amp;pf_rd_r=A67E7NHPV02QK4411MT8&amp;qid=1601623396&amp;sr=1-1-d9dc7690-f7e1-44eb-ad06-aebbef559a37&amp;tag=androidcentralosp-20" TargetMode="External"/><Relationship Id="rId11" Type="http://schemas.openxmlformats.org/officeDocument/2006/relationships/hyperlink" Target="https://www.mcmaster.com/92120A140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mcmaster.com/94459A130/" TargetMode="External"/><Relationship Id="rId21" Type="http://schemas.openxmlformats.org/officeDocument/2006/relationships/hyperlink" Target="https://www.amazon.com/SanDisk-Ultra-microSDXC-Memory-Adapter/dp/B073JWXGNT/ref=sr_1_11?dchild=1&amp;keywords=sandisk+sd+card+32GB&amp;qid=1617968957&amp;sr=8-11" TargetMode="External"/><Relationship Id="rId13" Type="http://schemas.openxmlformats.org/officeDocument/2006/relationships/hyperlink" Target="https://www.mcmaster.com/91239A705/" TargetMode="External"/><Relationship Id="rId12" Type="http://schemas.openxmlformats.org/officeDocument/2006/relationships/hyperlink" Target="https://www.mcmaster.com/91239A701/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www.amazon.com/uxcell-Linkage-Joint-Adapter-Crawler/dp/B07Q2XT753/ref=sr_1_16?dchild=1&amp;keywords=m2+ball+end&amp;qid=1617956099&amp;sr=8-16" TargetMode="External"/><Relationship Id="rId3" Type="http://schemas.openxmlformats.org/officeDocument/2006/relationships/hyperlink" Target="https://item.taobao.com/item.htm?spm=a1z09.2.0.0.57f82e8dBI00pd&amp;id=20877440255&amp;_u=9c6ocpl87df" TargetMode="External"/><Relationship Id="rId4" Type="http://schemas.openxmlformats.org/officeDocument/2006/relationships/hyperlink" Target="https://www.amazon.com/dp/B08XPFBYM2/ref=twister_B08XPHRJWW?_encoding=UTF8&amp;psc=1" TargetMode="External"/><Relationship Id="rId9" Type="http://schemas.openxmlformats.org/officeDocument/2006/relationships/hyperlink" Target="https://www.mcmaster.com/94459A120/" TargetMode="External"/><Relationship Id="rId15" Type="http://schemas.openxmlformats.org/officeDocument/2006/relationships/hyperlink" Target="https://www.mcmaster.com/91239A707/" TargetMode="External"/><Relationship Id="rId14" Type="http://schemas.openxmlformats.org/officeDocument/2006/relationships/hyperlink" Target="https://www.mcmaster.com/91239A706/" TargetMode="External"/><Relationship Id="rId17" Type="http://schemas.openxmlformats.org/officeDocument/2006/relationships/hyperlink" Target="https://www.mcmaster.com/94209A343/" TargetMode="External"/><Relationship Id="rId16" Type="http://schemas.openxmlformats.org/officeDocument/2006/relationships/hyperlink" Target="https://www.mcmaster.com/93625A101/" TargetMode="External"/><Relationship Id="rId5" Type="http://schemas.openxmlformats.org/officeDocument/2006/relationships/hyperlink" Target="https://www.amazon.com/uxcell-Miniature-Thrust-Bearings-Washers/dp/B082PQS8TJ/ref=sr_1_3?dchild=1&amp;keywords=2mm+Thrust+Bearing&amp;qid=1617958532&amp;sr=8-3" TargetMode="External"/><Relationship Id="rId19" Type="http://schemas.openxmlformats.org/officeDocument/2006/relationships/hyperlink" Target="https://www.mcmaster.com/97763A813/" TargetMode="External"/><Relationship Id="rId6" Type="http://schemas.openxmlformats.org/officeDocument/2006/relationships/hyperlink" Target="https://www.amazon.com/Bearing-3x8x4mm-Dental-Grinding-Bearings/dp/B08CMXJV5R/ref=sr_1_2_sspa?dchild=1&amp;keywords=693ZZ+Bearing&amp;qid=1617958827&amp;sr=8-2-spons&amp;psc=1&amp;spLa=ZW5jcnlwdGVkUXVhbGlmaWVyPUEyV05LUlpCV1JGNjA1JmVuY3J5cHRlZElkPUEwNTE5OTg1M0g1QTU2VzI4NUtVVSZlbmNyeXB0ZWRBZElkPUEwMDg5OTc5MkhITlNLUDUwQ1VVTiZ3aWRnZXROYW1lPXNwX2F0ZiZhY3Rpb249Y2xpY2tSZWRpcmVjdCZkb05vdExvZ0NsaWNrPXRydWU=" TargetMode="External"/><Relationship Id="rId18" Type="http://schemas.openxmlformats.org/officeDocument/2006/relationships/hyperlink" Target="https://www.amazon.com/outstanding-Electronics-Assortment-Screwdriver-Electronic/dp/B08GPH53Y3/ref=sr_1_4?dchild=1&amp;keywords=M1.4+Screw&amp;qid=1618066687&amp;s=hi&amp;sr=1-4" TargetMode="External"/><Relationship Id="rId7" Type="http://schemas.openxmlformats.org/officeDocument/2006/relationships/hyperlink" Target="https://www.amazon.com/uxcell-Bearing-2x5x2-3mm-Shielded-Bearings/dp/B07Z3C3QTH/ref=sr_1_1_sspa?dchild=1&amp;keywords=F682zz&amp;qid=1617959174&amp;sr=8-1-spons&amp;psc=1&amp;spLa=ZW5jcnlwdGVkUXVhbGlmaWVyPUExNVhPRDBMMkQwR09IJmVuY3J5cHRlZElkPUExMDM0MDA1MzRPOTBDNTVCVzlKTSZlbmNyeXB0ZWRBZElkPUEwMDY3NjM1VzQyTlpPVlZGNjYmd2lkZ2V0TmFtZT1zcF9hdGYmYWN0aW9uPWNsaWNrUmVkaXJlY3QmZG9Ob3RMb2dDbGljaz10cnVl" TargetMode="External"/><Relationship Id="rId8" Type="http://schemas.openxmlformats.org/officeDocument/2006/relationships/hyperlink" Target="https://www.amazon.com/Litorange-320PCS-Standoff-Assorted-Assortment/dp/B07D78PFQL/ref=sr_1_4?dchild=1&amp;keywords=M2+standoff&amp;qid=1617959979&amp;sr=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2.29"/>
    <col customWidth="1" min="3" max="3" width="36.71"/>
    <col customWidth="1" min="4" max="4" width="9.43"/>
    <col customWidth="1" min="5" max="5" width="79.0"/>
    <col customWidth="1" min="6" max="6" width="11.71"/>
    <col customWidth="1" min="7" max="7" width="14.71"/>
    <col customWidth="1" min="8" max="8" width="11.57"/>
    <col customWidth="1" min="9" max="9" width="87.57"/>
    <col customWidth="1" min="10" max="10" width="80.71"/>
    <col customWidth="1" min="11" max="15" width="8.86"/>
    <col customWidth="1" min="16" max="16" width="11.14"/>
    <col customWidth="1" min="17" max="26" width="8.86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2"/>
      <c r="C2" s="2"/>
      <c r="D2" s="2"/>
      <c r="E2" s="2"/>
      <c r="F2" s="3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2</v>
      </c>
      <c r="F3" s="3"/>
      <c r="G3" s="4"/>
      <c r="H3" s="5">
        <f>SUM(H5:H60)</f>
        <v>755.71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9" t="s">
        <v>8</v>
      </c>
      <c r="G4" s="10" t="s">
        <v>9</v>
      </c>
      <c r="H4" s="11" t="s">
        <v>10</v>
      </c>
      <c r="I4" s="8" t="s">
        <v>11</v>
      </c>
      <c r="J4" s="11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>
        <v>1.0</v>
      </c>
      <c r="B5" s="12" t="s">
        <v>13</v>
      </c>
      <c r="C5" s="8" t="s">
        <v>14</v>
      </c>
      <c r="D5" s="8">
        <v>12.0</v>
      </c>
      <c r="E5" s="13" t="s">
        <v>15</v>
      </c>
      <c r="F5" s="14">
        <v>9.6</v>
      </c>
      <c r="G5" s="10">
        <f>F5*12</f>
        <v>115.2</v>
      </c>
      <c r="H5" s="15">
        <f t="shared" ref="H5:H7" si="1">G5</f>
        <v>115.2</v>
      </c>
      <c r="I5" s="16" t="s">
        <v>16</v>
      </c>
      <c r="J5" s="17" t="s">
        <v>17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3">
        <v>2.0</v>
      </c>
      <c r="B6" s="18"/>
      <c r="C6" s="8" t="s">
        <v>18</v>
      </c>
      <c r="D6" s="8">
        <v>1.0</v>
      </c>
      <c r="E6" s="13" t="s">
        <v>19</v>
      </c>
      <c r="F6" s="9"/>
      <c r="G6" s="10">
        <v>30.0</v>
      </c>
      <c r="H6" s="19">
        <f t="shared" si="1"/>
        <v>30</v>
      </c>
      <c r="I6" s="18"/>
      <c r="J6" s="11" t="s">
        <v>20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3">
        <v>3.0</v>
      </c>
      <c r="B7" s="18"/>
      <c r="C7" s="8" t="s">
        <v>21</v>
      </c>
      <c r="D7" s="8">
        <v>1.0</v>
      </c>
      <c r="E7" s="20"/>
      <c r="F7" s="21"/>
      <c r="G7" s="22">
        <v>16.0</v>
      </c>
      <c r="H7" s="23">
        <f t="shared" si="1"/>
        <v>16</v>
      </c>
      <c r="I7" s="18"/>
      <c r="J7" s="11" t="s">
        <v>20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8">
        <v>4.0</v>
      </c>
      <c r="B8" s="18"/>
      <c r="C8" s="8" t="s">
        <v>22</v>
      </c>
      <c r="D8" s="8">
        <v>1.0</v>
      </c>
      <c r="E8" s="24" t="s">
        <v>23</v>
      </c>
      <c r="F8" s="25"/>
      <c r="G8" s="26"/>
      <c r="H8" s="26"/>
      <c r="I8" s="18"/>
      <c r="J8" s="11" t="s">
        <v>20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3">
        <v>5.0</v>
      </c>
      <c r="B9" s="18"/>
      <c r="C9" s="8" t="s">
        <v>24</v>
      </c>
      <c r="D9" s="8">
        <v>4.0</v>
      </c>
      <c r="E9" s="13" t="s">
        <v>25</v>
      </c>
      <c r="F9" s="14">
        <v>1.5</v>
      </c>
      <c r="G9" s="10">
        <f t="shared" ref="G9:G10" si="2">F9*D9</f>
        <v>6</v>
      </c>
      <c r="H9" s="19">
        <f t="shared" ref="H9:H10" si="3">F9*D9</f>
        <v>6</v>
      </c>
      <c r="I9" s="18"/>
      <c r="J9" s="11" t="s">
        <v>20</v>
      </c>
      <c r="K9" s="6"/>
      <c r="L9" s="27"/>
      <c r="M9" s="28"/>
      <c r="N9" s="29"/>
      <c r="O9" s="29"/>
      <c r="P9" s="6"/>
      <c r="Q9" s="30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3">
        <v>6.0</v>
      </c>
      <c r="B10" s="26"/>
      <c r="C10" s="8" t="s">
        <v>26</v>
      </c>
      <c r="D10" s="8">
        <v>4.0</v>
      </c>
      <c r="E10" s="13" t="s">
        <v>25</v>
      </c>
      <c r="F10" s="14">
        <v>1.5</v>
      </c>
      <c r="G10" s="10">
        <f t="shared" si="2"/>
        <v>6</v>
      </c>
      <c r="H10" s="19">
        <f t="shared" si="3"/>
        <v>6</v>
      </c>
      <c r="I10" s="18"/>
      <c r="J10" s="11" t="s">
        <v>20</v>
      </c>
      <c r="K10" s="6"/>
      <c r="L10" s="27"/>
      <c r="M10" s="28"/>
      <c r="N10" s="29"/>
      <c r="O10" s="29"/>
      <c r="P10" s="6"/>
      <c r="Q10" s="30"/>
      <c r="R10" s="6"/>
      <c r="S10" s="6"/>
      <c r="T10" s="6"/>
      <c r="U10" s="6"/>
      <c r="V10" s="6"/>
      <c r="W10" s="6"/>
      <c r="X10" s="6"/>
      <c r="Y10" s="6"/>
      <c r="Z10" s="6"/>
    </row>
    <row r="11">
      <c r="A11" s="8">
        <v>7.0</v>
      </c>
      <c r="B11" s="12" t="s">
        <v>27</v>
      </c>
      <c r="C11" s="13" t="s">
        <v>28</v>
      </c>
      <c r="D11" s="13">
        <v>1.0</v>
      </c>
      <c r="E11" s="8"/>
      <c r="F11" s="9"/>
      <c r="G11" s="10"/>
      <c r="H11" s="23" t="s">
        <v>29</v>
      </c>
      <c r="I11" s="18"/>
      <c r="J11" s="11"/>
      <c r="K11" s="6"/>
      <c r="L11" s="6"/>
      <c r="M11" s="29"/>
      <c r="N11" s="29"/>
      <c r="O11" s="2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>
        <v>8.0</v>
      </c>
      <c r="B12" s="18"/>
      <c r="C12" s="8" t="s">
        <v>30</v>
      </c>
      <c r="D12" s="8">
        <v>1.0</v>
      </c>
      <c r="E12" s="8"/>
      <c r="F12" s="9"/>
      <c r="G12" s="10"/>
      <c r="H12" s="18"/>
      <c r="I12" s="18"/>
      <c r="J12" s="11"/>
      <c r="K12" s="6"/>
      <c r="L12" s="6"/>
      <c r="M12" s="29"/>
      <c r="N12" s="29"/>
      <c r="O12" s="2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>
        <v>9.0</v>
      </c>
      <c r="B13" s="18"/>
      <c r="C13" s="31" t="s">
        <v>31</v>
      </c>
      <c r="D13" s="8">
        <v>4.0</v>
      </c>
      <c r="E13" s="8"/>
      <c r="F13" s="9"/>
      <c r="G13" s="10"/>
      <c r="H13" s="18"/>
      <c r="I13" s="18"/>
      <c r="J13" s="11"/>
      <c r="K13" s="6"/>
      <c r="L13" s="6"/>
      <c r="M13" s="32"/>
      <c r="N13" s="32"/>
      <c r="O13" s="32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>
        <v>10.0</v>
      </c>
      <c r="B14" s="18"/>
      <c r="C14" s="8" t="s">
        <v>32</v>
      </c>
      <c r="D14" s="8">
        <v>4.0</v>
      </c>
      <c r="E14" s="8"/>
      <c r="F14" s="9"/>
      <c r="G14" s="10"/>
      <c r="H14" s="18"/>
      <c r="I14" s="18"/>
      <c r="J14" s="11"/>
      <c r="K14" s="6"/>
      <c r="L14" s="6"/>
      <c r="M14" s="32"/>
      <c r="N14" s="32"/>
      <c r="O14" s="32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>
        <v>11.0</v>
      </c>
      <c r="B15" s="18"/>
      <c r="C15" s="8" t="s">
        <v>33</v>
      </c>
      <c r="D15" s="8">
        <v>4.0</v>
      </c>
      <c r="E15" s="8"/>
      <c r="F15" s="9"/>
      <c r="G15" s="10"/>
      <c r="H15" s="18"/>
      <c r="I15" s="18"/>
      <c r="J15" s="11"/>
      <c r="K15" s="6"/>
      <c r="L15" s="6"/>
      <c r="M15" s="32"/>
      <c r="N15" s="32"/>
      <c r="O15" s="32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>
        <v>12.0</v>
      </c>
      <c r="B16" s="26"/>
      <c r="C16" s="8" t="s">
        <v>34</v>
      </c>
      <c r="D16" s="8">
        <v>4.0</v>
      </c>
      <c r="E16" s="8"/>
      <c r="F16" s="9"/>
      <c r="G16" s="10"/>
      <c r="H16" s="26"/>
      <c r="I16" s="26"/>
      <c r="J16" s="33" t="s">
        <v>35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8">
        <v>13.0</v>
      </c>
      <c r="B17" s="16" t="s">
        <v>36</v>
      </c>
      <c r="C17" s="8" t="s">
        <v>37</v>
      </c>
      <c r="D17" s="8">
        <v>8.0</v>
      </c>
      <c r="E17" s="20" t="s">
        <v>38</v>
      </c>
      <c r="F17" s="34"/>
      <c r="G17" s="35" t="s">
        <v>39</v>
      </c>
      <c r="H17" s="19">
        <v>14.98</v>
      </c>
      <c r="I17" s="36" t="s">
        <v>40</v>
      </c>
      <c r="J17" s="11" t="s">
        <v>20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8">
        <v>14.0</v>
      </c>
      <c r="B18" s="18"/>
      <c r="C18" s="8" t="s">
        <v>41</v>
      </c>
      <c r="D18" s="8">
        <v>4.0</v>
      </c>
      <c r="E18" s="20" t="s">
        <v>42</v>
      </c>
      <c r="F18" s="34"/>
      <c r="G18" s="35" t="s">
        <v>43</v>
      </c>
      <c r="H18" s="37">
        <v>18.26</v>
      </c>
      <c r="I18" s="36" t="s">
        <v>44</v>
      </c>
      <c r="J18" s="11" t="s">
        <v>20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3">
        <v>15.0</v>
      </c>
      <c r="B19" s="18"/>
      <c r="C19" s="8" t="s">
        <v>45</v>
      </c>
      <c r="D19" s="8">
        <v>16.0</v>
      </c>
      <c r="E19" s="20" t="s">
        <v>46</v>
      </c>
      <c r="F19" s="21"/>
      <c r="G19" s="38" t="s">
        <v>47</v>
      </c>
      <c r="H19" s="19">
        <f>7.99*4</f>
        <v>31.96</v>
      </c>
      <c r="I19" s="36" t="s">
        <v>48</v>
      </c>
      <c r="J19" s="11" t="s">
        <v>20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3">
        <v>16.0</v>
      </c>
      <c r="B20" s="18"/>
      <c r="C20" s="8" t="s">
        <v>49</v>
      </c>
      <c r="D20" s="8">
        <v>4.0</v>
      </c>
      <c r="E20" s="20" t="s">
        <v>50</v>
      </c>
      <c r="F20" s="21" t="s">
        <v>51</v>
      </c>
      <c r="G20" s="38" t="s">
        <v>52</v>
      </c>
      <c r="H20" s="19">
        <v>10.99</v>
      </c>
      <c r="I20" s="36" t="s">
        <v>53</v>
      </c>
      <c r="J20" s="11" t="s">
        <v>20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">
        <v>17.0</v>
      </c>
      <c r="B21" s="18"/>
      <c r="C21" s="8" t="s">
        <v>54</v>
      </c>
      <c r="D21" s="8">
        <v>8.0</v>
      </c>
      <c r="E21" s="20" t="s">
        <v>55</v>
      </c>
      <c r="F21" s="39"/>
      <c r="G21" s="38" t="s">
        <v>51</v>
      </c>
      <c r="H21" s="19">
        <v>7.99</v>
      </c>
      <c r="I21" s="36" t="s">
        <v>56</v>
      </c>
      <c r="J21" s="11" t="s">
        <v>20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3">
        <v>18.0</v>
      </c>
      <c r="B22" s="18"/>
      <c r="C22" s="8" t="s">
        <v>57</v>
      </c>
      <c r="D22" s="8">
        <v>4.0</v>
      </c>
      <c r="E22" s="20" t="s">
        <v>58</v>
      </c>
      <c r="F22" s="39"/>
      <c r="G22" s="40" t="s">
        <v>59</v>
      </c>
      <c r="H22" s="23">
        <v>13.88</v>
      </c>
      <c r="I22" s="41" t="s">
        <v>60</v>
      </c>
      <c r="J22" s="11" t="s">
        <v>20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3">
        <v>19.0</v>
      </c>
      <c r="B23" s="18"/>
      <c r="C23" s="8" t="s">
        <v>57</v>
      </c>
      <c r="D23" s="8">
        <v>4.0</v>
      </c>
      <c r="E23" s="20" t="s">
        <v>61</v>
      </c>
      <c r="F23" s="39"/>
      <c r="G23" s="26"/>
      <c r="H23" s="26"/>
      <c r="I23" s="26"/>
      <c r="J23" s="11" t="s">
        <v>20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8">
        <v>20.0</v>
      </c>
      <c r="B24" s="18"/>
      <c r="C24" s="8" t="s">
        <v>62</v>
      </c>
      <c r="D24" s="13">
        <v>42.0</v>
      </c>
      <c r="E24" s="24" t="s">
        <v>63</v>
      </c>
      <c r="F24" s="25"/>
      <c r="G24" s="35" t="s">
        <v>64</v>
      </c>
      <c r="H24" s="37">
        <v>9.38</v>
      </c>
      <c r="I24" s="36" t="s">
        <v>65</v>
      </c>
      <c r="J24" s="11" t="s">
        <v>20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3">
        <v>22.0</v>
      </c>
      <c r="B25" s="18"/>
      <c r="C25" s="8" t="s">
        <v>66</v>
      </c>
      <c r="D25" s="8">
        <v>4.0</v>
      </c>
      <c r="E25" s="24" t="s">
        <v>67</v>
      </c>
      <c r="F25" s="25"/>
      <c r="G25" s="38" t="s">
        <v>68</v>
      </c>
      <c r="H25" s="19">
        <v>10.0</v>
      </c>
      <c r="I25" s="36" t="s">
        <v>69</v>
      </c>
      <c r="J25" s="11" t="s">
        <v>20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8">
        <v>23.0</v>
      </c>
      <c r="B26" s="18"/>
      <c r="C26" s="8" t="s">
        <v>70</v>
      </c>
      <c r="D26" s="13">
        <v>12.0</v>
      </c>
      <c r="E26" s="24" t="s">
        <v>71</v>
      </c>
      <c r="F26" s="25"/>
      <c r="G26" s="38" t="s">
        <v>72</v>
      </c>
      <c r="H26" s="19">
        <v>14.38</v>
      </c>
      <c r="I26" s="36" t="s">
        <v>73</v>
      </c>
      <c r="J26" s="11" t="s">
        <v>20</v>
      </c>
      <c r="K26" s="6"/>
      <c r="L26" s="6"/>
      <c r="M26" s="6"/>
      <c r="N26" s="6"/>
      <c r="O26" s="6"/>
      <c r="P26" s="42"/>
      <c r="Q26" s="43"/>
      <c r="R26" s="6"/>
      <c r="S26" s="43"/>
      <c r="T26" s="6"/>
      <c r="U26" s="6"/>
      <c r="V26" s="6"/>
      <c r="W26" s="6"/>
      <c r="X26" s="6"/>
      <c r="Y26" s="6"/>
      <c r="Z26" s="6"/>
    </row>
    <row r="27" ht="16.5" customHeight="1">
      <c r="A27" s="13"/>
      <c r="B27" s="18"/>
      <c r="C27" s="8" t="s">
        <v>74</v>
      </c>
      <c r="D27" s="13">
        <v>9.0</v>
      </c>
      <c r="E27" s="24" t="s">
        <v>75</v>
      </c>
      <c r="F27" s="25"/>
      <c r="G27" s="38"/>
      <c r="H27" s="19"/>
      <c r="I27" s="44"/>
      <c r="J27" s="11"/>
      <c r="K27" s="6"/>
      <c r="L27" s="6"/>
      <c r="M27" s="6"/>
      <c r="N27" s="6"/>
      <c r="O27" s="6"/>
      <c r="P27" s="42"/>
      <c r="Q27" s="43"/>
      <c r="R27" s="6"/>
      <c r="S27" s="43"/>
      <c r="T27" s="6"/>
      <c r="U27" s="6"/>
      <c r="V27" s="6"/>
      <c r="W27" s="6"/>
      <c r="X27" s="6"/>
      <c r="Y27" s="6"/>
      <c r="Z27" s="6"/>
    </row>
    <row r="28" ht="16.5" customHeight="1">
      <c r="A28" s="13">
        <v>24.0</v>
      </c>
      <c r="B28" s="18"/>
      <c r="C28" s="8" t="s">
        <v>74</v>
      </c>
      <c r="D28" s="13">
        <v>38.0</v>
      </c>
      <c r="E28" s="20" t="s">
        <v>76</v>
      </c>
      <c r="F28" s="25"/>
      <c r="G28" s="38" t="s">
        <v>77</v>
      </c>
      <c r="H28" s="19">
        <v>8.39</v>
      </c>
      <c r="I28" s="36" t="s">
        <v>78</v>
      </c>
      <c r="J28" s="11" t="s">
        <v>20</v>
      </c>
      <c r="K28" s="6"/>
      <c r="L28" s="6"/>
      <c r="M28" s="6"/>
      <c r="N28" s="6"/>
      <c r="O28" s="6"/>
      <c r="P28" s="42"/>
      <c r="Q28" s="43"/>
      <c r="R28" s="6"/>
      <c r="S28" s="43"/>
      <c r="T28" s="6"/>
      <c r="U28" s="6"/>
      <c r="V28" s="6"/>
      <c r="W28" s="6"/>
      <c r="X28" s="6"/>
      <c r="Y28" s="6"/>
      <c r="Z28" s="6"/>
    </row>
    <row r="29" ht="15.75" customHeight="1">
      <c r="A29" s="13"/>
      <c r="B29" s="18"/>
      <c r="C29" s="8" t="s">
        <v>74</v>
      </c>
      <c r="D29" s="13">
        <v>22.0</v>
      </c>
      <c r="E29" s="24" t="s">
        <v>79</v>
      </c>
      <c r="F29" s="25"/>
      <c r="G29" s="38"/>
      <c r="H29" s="19"/>
      <c r="I29" s="44"/>
      <c r="J29" s="11"/>
      <c r="K29" s="6"/>
      <c r="L29" s="6"/>
      <c r="M29" s="6"/>
      <c r="N29" s="6"/>
      <c r="O29" s="6"/>
      <c r="P29" s="42"/>
      <c r="Q29" s="43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3">
        <v>25.0</v>
      </c>
      <c r="B30" s="18"/>
      <c r="C30" s="8" t="s">
        <v>74</v>
      </c>
      <c r="D30" s="13">
        <v>22.0</v>
      </c>
      <c r="E30" s="20" t="s">
        <v>80</v>
      </c>
      <c r="F30" s="25"/>
      <c r="G30" s="38" t="s">
        <v>81</v>
      </c>
      <c r="H30" s="19">
        <v>8.85</v>
      </c>
      <c r="I30" s="36" t="s">
        <v>82</v>
      </c>
      <c r="J30" s="11" t="s">
        <v>20</v>
      </c>
      <c r="K30" s="6"/>
      <c r="L30" s="6"/>
      <c r="M30" s="6"/>
      <c r="N30" s="6"/>
      <c r="O30" s="6"/>
      <c r="P30" s="42"/>
      <c r="Q30" s="43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8">
        <v>26.0</v>
      </c>
      <c r="B31" s="18"/>
      <c r="C31" s="8" t="s">
        <v>74</v>
      </c>
      <c r="D31" s="13">
        <v>8.0</v>
      </c>
      <c r="E31" s="20" t="s">
        <v>83</v>
      </c>
      <c r="F31" s="25"/>
      <c r="G31" s="38" t="s">
        <v>84</v>
      </c>
      <c r="H31" s="19">
        <v>9.13</v>
      </c>
      <c r="I31" s="36" t="s">
        <v>85</v>
      </c>
      <c r="J31" s="11" t="s">
        <v>20</v>
      </c>
      <c r="K31" s="6"/>
      <c r="L31" s="6"/>
      <c r="M31" s="6"/>
      <c r="N31" s="6"/>
      <c r="O31" s="6"/>
      <c r="P31" s="42"/>
      <c r="Q31" s="43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8">
        <v>27.0</v>
      </c>
      <c r="B32" s="18"/>
      <c r="C32" s="8" t="s">
        <v>74</v>
      </c>
      <c r="D32" s="13">
        <v>9.0</v>
      </c>
      <c r="E32" s="20" t="s">
        <v>86</v>
      </c>
      <c r="F32" s="25"/>
      <c r="G32" s="38" t="s">
        <v>87</v>
      </c>
      <c r="H32" s="10">
        <v>7.52</v>
      </c>
      <c r="I32" s="36" t="s">
        <v>88</v>
      </c>
      <c r="J32" s="11" t="s">
        <v>20</v>
      </c>
      <c r="K32" s="6"/>
      <c r="L32" s="6"/>
      <c r="M32" s="6"/>
      <c r="N32" s="6"/>
      <c r="O32" s="6"/>
      <c r="P32" s="42"/>
      <c r="Q32" s="43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3"/>
      <c r="B33" s="18"/>
      <c r="C33" s="8" t="s">
        <v>74</v>
      </c>
      <c r="D33" s="13">
        <v>4.0</v>
      </c>
      <c r="E33" s="24" t="s">
        <v>89</v>
      </c>
      <c r="F33" s="21"/>
      <c r="G33" s="38"/>
      <c r="H33" s="10"/>
      <c r="I33" s="44"/>
      <c r="J33" s="11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3">
        <v>28.0</v>
      </c>
      <c r="B34" s="18"/>
      <c r="C34" s="8" t="s">
        <v>90</v>
      </c>
      <c r="D34" s="8">
        <v>16.0</v>
      </c>
      <c r="E34" s="20"/>
      <c r="F34" s="21"/>
      <c r="G34" s="38" t="s">
        <v>91</v>
      </c>
      <c r="H34" s="10">
        <f>8.05*2</f>
        <v>16.1</v>
      </c>
      <c r="I34" s="36" t="s">
        <v>92</v>
      </c>
      <c r="J34" s="11" t="s">
        <v>20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3">
        <v>29.0</v>
      </c>
      <c r="B35" s="18"/>
      <c r="C35" s="8" t="s">
        <v>93</v>
      </c>
      <c r="D35" s="13">
        <v>6.0</v>
      </c>
      <c r="E35" s="20" t="s">
        <v>79</v>
      </c>
      <c r="F35" s="21"/>
      <c r="G35" s="38" t="s">
        <v>94</v>
      </c>
      <c r="H35" s="10">
        <v>8.57</v>
      </c>
      <c r="I35" s="36" t="s">
        <v>95</v>
      </c>
      <c r="J35" s="11" t="s">
        <v>20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8">
        <v>30.0</v>
      </c>
      <c r="B36" s="18"/>
      <c r="C36" s="8" t="s">
        <v>96</v>
      </c>
      <c r="D36" s="13">
        <v>13.0</v>
      </c>
      <c r="E36" s="20" t="s">
        <v>97</v>
      </c>
      <c r="F36" s="21"/>
      <c r="G36" s="38"/>
      <c r="H36" s="10">
        <v>8.59</v>
      </c>
      <c r="I36" s="36" t="s">
        <v>98</v>
      </c>
      <c r="J36" s="11" t="s">
        <v>20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3">
        <v>31.0</v>
      </c>
      <c r="B37" s="26"/>
      <c r="C37" s="8" t="s">
        <v>99</v>
      </c>
      <c r="D37" s="8">
        <v>4.0</v>
      </c>
      <c r="E37" s="20" t="s">
        <v>100</v>
      </c>
      <c r="F37" s="21"/>
      <c r="G37" s="38" t="s">
        <v>101</v>
      </c>
      <c r="H37" s="10">
        <v>7.0</v>
      </c>
      <c r="I37" s="36" t="s">
        <v>102</v>
      </c>
      <c r="J37" s="11" t="s">
        <v>20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"/>
      <c r="B38" s="45" t="s">
        <v>103</v>
      </c>
      <c r="C38" s="46"/>
      <c r="D38" s="46"/>
      <c r="E38" s="47"/>
      <c r="F38" s="9"/>
      <c r="G38" s="10"/>
      <c r="H38" s="19"/>
      <c r="I38" s="48"/>
      <c r="J38" s="11"/>
      <c r="K38" s="6"/>
      <c r="L38" s="49"/>
      <c r="M38" s="50"/>
      <c r="N38" s="29"/>
      <c r="O38" s="29"/>
      <c r="P38" s="6"/>
      <c r="Q38" s="30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>
        <v>35.0</v>
      </c>
      <c r="B39" s="12" t="s">
        <v>104</v>
      </c>
      <c r="C39" s="8" t="s">
        <v>105</v>
      </c>
      <c r="D39" s="8">
        <v>1.0</v>
      </c>
      <c r="E39" s="51" t="s">
        <v>106</v>
      </c>
      <c r="F39" s="9">
        <v>6.66</v>
      </c>
      <c r="G39" s="10"/>
      <c r="H39" s="19">
        <f t="shared" ref="H39:H46" si="4">F39*D39</f>
        <v>6.66</v>
      </c>
      <c r="I39" s="52" t="s">
        <v>107</v>
      </c>
      <c r="J39" s="11"/>
      <c r="K39" s="6"/>
      <c r="L39" s="27"/>
      <c r="M39" s="28"/>
      <c r="N39" s="29"/>
      <c r="O39" s="29"/>
      <c r="P39" s="6"/>
      <c r="Q39" s="30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3">
        <v>36.0</v>
      </c>
      <c r="B40" s="18"/>
      <c r="C40" s="8" t="s">
        <v>108</v>
      </c>
      <c r="D40" s="8">
        <v>2.0</v>
      </c>
      <c r="E40" s="18"/>
      <c r="F40" s="9">
        <v>6.76</v>
      </c>
      <c r="G40" s="10"/>
      <c r="H40" s="19">
        <f t="shared" si="4"/>
        <v>13.52</v>
      </c>
      <c r="I40" s="18"/>
      <c r="J40" s="11"/>
      <c r="K40" s="6"/>
      <c r="L40" s="27"/>
      <c r="M40" s="28"/>
      <c r="N40" s="29"/>
      <c r="O40" s="29"/>
      <c r="P40" s="6"/>
      <c r="Q40" s="30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3">
        <v>37.0</v>
      </c>
      <c r="B41" s="18"/>
      <c r="C41" s="8" t="s">
        <v>109</v>
      </c>
      <c r="D41" s="8">
        <v>1.0</v>
      </c>
      <c r="E41" s="18"/>
      <c r="F41" s="9">
        <v>6.88</v>
      </c>
      <c r="G41" s="10"/>
      <c r="H41" s="19">
        <f t="shared" si="4"/>
        <v>6.88</v>
      </c>
      <c r="I41" s="18"/>
      <c r="J41" s="11"/>
      <c r="K41" s="6"/>
      <c r="L41" s="27"/>
      <c r="M41" s="28"/>
      <c r="N41" s="29"/>
      <c r="O41" s="29"/>
      <c r="P41" s="6"/>
      <c r="Q41" s="30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3">
        <v>38.0</v>
      </c>
      <c r="B42" s="18"/>
      <c r="C42" s="8" t="s">
        <v>110</v>
      </c>
      <c r="D42" s="8">
        <v>1.0</v>
      </c>
      <c r="E42" s="18"/>
      <c r="F42" s="9">
        <v>6.66</v>
      </c>
      <c r="G42" s="10"/>
      <c r="H42" s="19">
        <f t="shared" si="4"/>
        <v>6.66</v>
      </c>
      <c r="I42" s="18"/>
      <c r="J42" s="11"/>
      <c r="K42" s="6"/>
      <c r="L42" s="27"/>
      <c r="M42" s="28"/>
      <c r="N42" s="29"/>
      <c r="O42" s="29"/>
      <c r="P42" s="6"/>
      <c r="Q42" s="30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3">
        <v>39.0</v>
      </c>
      <c r="B43" s="18"/>
      <c r="C43" s="8" t="s">
        <v>111</v>
      </c>
      <c r="D43" s="8">
        <v>1.0</v>
      </c>
      <c r="E43" s="18"/>
      <c r="F43" s="9">
        <v>8.33</v>
      </c>
      <c r="G43" s="10"/>
      <c r="H43" s="19">
        <f t="shared" si="4"/>
        <v>8.33</v>
      </c>
      <c r="I43" s="18"/>
      <c r="J43" s="11"/>
      <c r="K43" s="6"/>
      <c r="L43" s="27"/>
      <c r="M43" s="28"/>
      <c r="N43" s="29"/>
      <c r="O43" s="29"/>
      <c r="P43" s="6"/>
      <c r="Q43" s="30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3">
        <v>40.0</v>
      </c>
      <c r="B44" s="18"/>
      <c r="C44" s="8" t="s">
        <v>112</v>
      </c>
      <c r="D44" s="8">
        <v>1.0</v>
      </c>
      <c r="E44" s="18"/>
      <c r="F44" s="9">
        <v>8.33</v>
      </c>
      <c r="G44" s="10"/>
      <c r="H44" s="19">
        <f t="shared" si="4"/>
        <v>8.33</v>
      </c>
      <c r="I44" s="18"/>
      <c r="J44" s="11"/>
      <c r="K44" s="6"/>
      <c r="L44" s="27"/>
      <c r="M44" s="28"/>
      <c r="N44" s="29"/>
      <c r="O44" s="29"/>
      <c r="P44" s="6"/>
      <c r="Q44" s="30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3">
        <v>41.0</v>
      </c>
      <c r="B45" s="18"/>
      <c r="C45" s="8" t="s">
        <v>113</v>
      </c>
      <c r="D45" s="8">
        <v>1.0</v>
      </c>
      <c r="E45" s="18"/>
      <c r="F45" s="9">
        <v>6.66</v>
      </c>
      <c r="G45" s="10"/>
      <c r="H45" s="19">
        <f t="shared" si="4"/>
        <v>6.66</v>
      </c>
      <c r="I45" s="18"/>
      <c r="J45" s="11" t="s">
        <v>20</v>
      </c>
      <c r="K45" s="6"/>
      <c r="L45" s="27"/>
      <c r="M45" s="28"/>
      <c r="N45" s="29"/>
      <c r="O45" s="29"/>
      <c r="P45" s="6"/>
      <c r="Q45" s="30"/>
      <c r="R45" s="6"/>
      <c r="S45" s="6"/>
      <c r="T45" s="6"/>
      <c r="U45" s="6"/>
      <c r="V45" s="6"/>
      <c r="W45" s="6"/>
      <c r="X45" s="6"/>
      <c r="Y45" s="6"/>
      <c r="Z45" s="6"/>
    </row>
    <row r="46">
      <c r="A46" s="13">
        <v>42.0</v>
      </c>
      <c r="B46" s="26"/>
      <c r="C46" s="13" t="s">
        <v>114</v>
      </c>
      <c r="D46" s="8">
        <v>1.0</v>
      </c>
      <c r="E46" s="26"/>
      <c r="F46" s="9">
        <v>6.66</v>
      </c>
      <c r="G46" s="10"/>
      <c r="H46" s="19">
        <f t="shared" si="4"/>
        <v>6.66</v>
      </c>
      <c r="I46" s="18"/>
      <c r="J46" s="11"/>
      <c r="K46" s="6"/>
      <c r="L46" s="27"/>
      <c r="M46" s="28"/>
      <c r="N46" s="29"/>
      <c r="O46" s="29"/>
      <c r="P46" s="6"/>
      <c r="Q46" s="30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3">
        <v>43.0</v>
      </c>
      <c r="B47" s="8"/>
      <c r="C47" s="13" t="s">
        <v>115</v>
      </c>
      <c r="D47" s="13">
        <v>1.0</v>
      </c>
      <c r="E47" s="24" t="s">
        <v>116</v>
      </c>
      <c r="F47" s="14">
        <v>30.0</v>
      </c>
      <c r="G47" s="53"/>
      <c r="H47" s="53"/>
      <c r="I47" s="54"/>
      <c r="J47" s="3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3">
        <v>44.0</v>
      </c>
      <c r="B48" s="8"/>
      <c r="C48" s="8"/>
      <c r="D48" s="8"/>
      <c r="E48" s="55" t="s">
        <v>117</v>
      </c>
      <c r="F48" s="9"/>
      <c r="G48" s="10"/>
      <c r="H48" s="10"/>
      <c r="I48" s="44"/>
      <c r="J48" s="3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>
        <v>45.0</v>
      </c>
      <c r="B49" s="56" t="s">
        <v>118</v>
      </c>
      <c r="C49" s="13" t="s">
        <v>119</v>
      </c>
      <c r="D49" s="8">
        <v>1.0</v>
      </c>
      <c r="E49" s="18"/>
      <c r="F49" s="9">
        <v>33.12</v>
      </c>
      <c r="G49" s="10"/>
      <c r="H49" s="19">
        <f t="shared" ref="H49:H52" si="5">F49*D49</f>
        <v>33.12</v>
      </c>
      <c r="I49" s="56" t="s">
        <v>120</v>
      </c>
      <c r="J49" s="11"/>
      <c r="K49" s="6"/>
      <c r="L49" s="57"/>
      <c r="M49" s="58"/>
      <c r="N49" s="29"/>
      <c r="O49" s="29"/>
      <c r="P49" s="6"/>
      <c r="Q49" s="30"/>
      <c r="R49" s="6"/>
      <c r="S49" s="6"/>
      <c r="T49" s="6"/>
      <c r="U49" s="6"/>
      <c r="V49" s="6"/>
      <c r="W49" s="6"/>
      <c r="X49" s="6"/>
      <c r="Y49" s="6"/>
      <c r="Z49" s="6"/>
    </row>
    <row r="50">
      <c r="A50" s="13">
        <v>46.0</v>
      </c>
      <c r="B50" s="18"/>
      <c r="C50" s="8" t="s">
        <v>121</v>
      </c>
      <c r="D50" s="13">
        <v>2.0</v>
      </c>
      <c r="E50" s="18"/>
      <c r="F50" s="9">
        <v>7.62</v>
      </c>
      <c r="G50" s="10"/>
      <c r="H50" s="19">
        <f t="shared" si="5"/>
        <v>15.24</v>
      </c>
      <c r="I50" s="18"/>
      <c r="J50" s="11"/>
      <c r="K50" s="6"/>
      <c r="L50" s="27"/>
      <c r="M50" s="28"/>
      <c r="N50" s="29"/>
      <c r="O50" s="29"/>
      <c r="P50" s="6"/>
      <c r="Q50" s="30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>
        <v>47.0</v>
      </c>
      <c r="B51" s="18"/>
      <c r="C51" s="8" t="s">
        <v>122</v>
      </c>
      <c r="D51" s="13">
        <v>2.0</v>
      </c>
      <c r="E51" s="18"/>
      <c r="F51" s="9">
        <v>8.78</v>
      </c>
      <c r="G51" s="10"/>
      <c r="H51" s="19">
        <f t="shared" si="5"/>
        <v>17.56</v>
      </c>
      <c r="I51" s="18"/>
      <c r="J51" s="11"/>
      <c r="K51" s="6"/>
      <c r="L51" s="27"/>
      <c r="M51" s="28"/>
      <c r="N51" s="29"/>
      <c r="O51" s="29"/>
      <c r="P51" s="6"/>
      <c r="Q51" s="30"/>
      <c r="R51" s="6"/>
      <c r="S51" s="6"/>
      <c r="T51" s="6"/>
      <c r="U51" s="6"/>
      <c r="V51" s="6"/>
      <c r="W51" s="6"/>
      <c r="X51" s="6"/>
      <c r="Y51" s="6"/>
      <c r="Z51" s="6"/>
    </row>
    <row r="52">
      <c r="A52" s="13">
        <v>48.0</v>
      </c>
      <c r="B52" s="18"/>
      <c r="C52" s="13" t="s">
        <v>123</v>
      </c>
      <c r="D52" s="13">
        <v>2.0</v>
      </c>
      <c r="E52" s="18"/>
      <c r="F52" s="59">
        <v>11.64</v>
      </c>
      <c r="G52" s="10"/>
      <c r="H52" s="19">
        <f t="shared" si="5"/>
        <v>23.28</v>
      </c>
      <c r="I52" s="18"/>
      <c r="J52" s="11"/>
      <c r="K52" s="6"/>
      <c r="L52" s="27"/>
      <c r="M52" s="28"/>
      <c r="N52" s="29"/>
      <c r="O52" s="29"/>
      <c r="P52" s="6"/>
      <c r="Q52" s="30"/>
      <c r="R52" s="6"/>
      <c r="S52" s="6"/>
      <c r="T52" s="6"/>
      <c r="U52" s="6"/>
      <c r="V52" s="6"/>
      <c r="W52" s="6"/>
      <c r="X52" s="6"/>
      <c r="Y52" s="6"/>
      <c r="Z52" s="6"/>
    </row>
    <row r="53">
      <c r="A53" s="13">
        <v>49.0</v>
      </c>
      <c r="B53" s="18"/>
      <c r="C53" s="13" t="s">
        <v>124</v>
      </c>
      <c r="D53" s="8">
        <v>2.0</v>
      </c>
      <c r="E53" s="18"/>
      <c r="F53" s="26"/>
      <c r="G53" s="10"/>
      <c r="H53" s="19">
        <f t="shared" ref="H53:H54" si="6">F50*D53</f>
        <v>15.24</v>
      </c>
      <c r="I53" s="18"/>
      <c r="J53" s="11"/>
      <c r="K53" s="6"/>
      <c r="L53" s="27"/>
      <c r="M53" s="28"/>
      <c r="N53" s="29"/>
      <c r="O53" s="29"/>
      <c r="P53" s="6"/>
      <c r="Q53" s="30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>
        <v>50.0</v>
      </c>
      <c r="B54" s="18"/>
      <c r="C54" s="13" t="s">
        <v>125</v>
      </c>
      <c r="D54" s="13">
        <v>2.0</v>
      </c>
      <c r="E54" s="18"/>
      <c r="F54" s="9">
        <v>7.09</v>
      </c>
      <c r="G54" s="10"/>
      <c r="H54" s="19">
        <f t="shared" si="6"/>
        <v>17.56</v>
      </c>
      <c r="I54" s="18"/>
      <c r="J54" s="11"/>
      <c r="K54" s="6"/>
      <c r="L54" s="27"/>
      <c r="M54" s="28"/>
      <c r="N54" s="29"/>
      <c r="O54" s="29"/>
      <c r="P54" s="6"/>
      <c r="Q54" s="30"/>
      <c r="R54" s="6"/>
      <c r="S54" s="6"/>
      <c r="T54" s="6"/>
      <c r="U54" s="6"/>
      <c r="V54" s="6"/>
      <c r="W54" s="6"/>
      <c r="X54" s="6"/>
      <c r="Y54" s="6"/>
      <c r="Z54" s="6"/>
    </row>
    <row r="55">
      <c r="A55" s="13">
        <v>51.0</v>
      </c>
      <c r="B55" s="26"/>
      <c r="C55" s="8" t="s">
        <v>126</v>
      </c>
      <c r="D55" s="8">
        <v>4.0</v>
      </c>
      <c r="E55" s="26"/>
      <c r="F55" s="9">
        <v>6.66</v>
      </c>
      <c r="G55" s="10"/>
      <c r="H55" s="19">
        <f>F55*D55</f>
        <v>26.64</v>
      </c>
      <c r="I55" s="26"/>
      <c r="J55" s="11"/>
      <c r="K55" s="6"/>
      <c r="L55" s="27"/>
      <c r="M55" s="28"/>
      <c r="N55" s="29"/>
      <c r="O55" s="29"/>
      <c r="P55" s="6"/>
      <c r="Q55" s="30"/>
      <c r="R55" s="6"/>
      <c r="S55" s="6"/>
      <c r="T55" s="6"/>
      <c r="U55" s="6"/>
      <c r="V55" s="6"/>
      <c r="W55" s="6"/>
      <c r="X55" s="6"/>
      <c r="Y55" s="6"/>
      <c r="Z55" s="6"/>
    </row>
    <row r="56">
      <c r="A56" s="13"/>
      <c r="B56" s="45" t="s">
        <v>127</v>
      </c>
      <c r="C56" s="46"/>
      <c r="D56" s="46"/>
      <c r="E56" s="47"/>
      <c r="F56" s="9"/>
      <c r="G56" s="10"/>
      <c r="H56" s="19"/>
      <c r="I56" s="60"/>
      <c r="J56" s="11"/>
      <c r="K56" s="6"/>
      <c r="L56" s="49"/>
      <c r="M56" s="50"/>
      <c r="N56" s="29"/>
      <c r="O56" s="29"/>
      <c r="P56" s="6"/>
      <c r="Q56" s="30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3">
        <v>55.0</v>
      </c>
      <c r="B57" s="8"/>
      <c r="C57" s="8" t="s">
        <v>128</v>
      </c>
      <c r="D57" s="8">
        <v>1.0</v>
      </c>
      <c r="E57" s="8"/>
      <c r="F57" s="9"/>
      <c r="G57" s="19">
        <v>53.21</v>
      </c>
      <c r="H57" s="19">
        <v>53.21</v>
      </c>
      <c r="I57" s="11" t="s">
        <v>129</v>
      </c>
      <c r="J57" s="11" t="s">
        <v>20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3">
        <v>56.0</v>
      </c>
      <c r="B58" s="8"/>
      <c r="C58" s="8" t="s">
        <v>130</v>
      </c>
      <c r="D58" s="8">
        <v>1.0</v>
      </c>
      <c r="E58" s="8" t="s">
        <v>131</v>
      </c>
      <c r="F58" s="9"/>
      <c r="G58" s="61">
        <v>100.0</v>
      </c>
      <c r="H58" s="19">
        <f>G58</f>
        <v>100</v>
      </c>
      <c r="I58" s="62" t="s">
        <v>132</v>
      </c>
      <c r="J58" s="11" t="s">
        <v>20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3">
        <v>57.0</v>
      </c>
      <c r="B59" s="8"/>
      <c r="C59" s="8" t="s">
        <v>133</v>
      </c>
      <c r="D59" s="8">
        <v>1.0</v>
      </c>
      <c r="E59" s="8"/>
      <c r="F59" s="9"/>
      <c r="G59" s="10">
        <v>10.99</v>
      </c>
      <c r="H59" s="19">
        <v>10.99</v>
      </c>
      <c r="I59" s="36" t="s">
        <v>134</v>
      </c>
      <c r="J59" s="11" t="s">
        <v>20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3"/>
      <c r="B60" s="45" t="s">
        <v>135</v>
      </c>
      <c r="C60" s="46"/>
      <c r="D60" s="46"/>
      <c r="E60" s="47"/>
      <c r="F60" s="9"/>
      <c r="G60" s="10"/>
      <c r="H60" s="19"/>
      <c r="I60" s="60"/>
      <c r="J60" s="11"/>
      <c r="K60" s="6"/>
      <c r="L60" s="49"/>
      <c r="M60" s="50"/>
      <c r="N60" s="29"/>
      <c r="O60" s="29"/>
      <c r="P60" s="6"/>
      <c r="Q60" s="30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5"/>
      <c r="G61" s="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5"/>
      <c r="G62" s="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5"/>
      <c r="G63" s="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5"/>
      <c r="G64" s="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5"/>
      <c r="G65" s="4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5"/>
      <c r="G66" s="4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5"/>
      <c r="G67" s="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5"/>
      <c r="G68" s="4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5"/>
      <c r="G69" s="4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5"/>
      <c r="G70" s="4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5"/>
      <c r="G71" s="4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5"/>
      <c r="G72" s="4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5"/>
      <c r="G73" s="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5"/>
      <c r="G74" s="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5"/>
      <c r="G75" s="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5"/>
      <c r="G76" s="4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5"/>
      <c r="G77" s="4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5"/>
      <c r="G78" s="4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5"/>
      <c r="G79" s="4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5"/>
      <c r="G80" s="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5"/>
      <c r="G81" s="4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5"/>
      <c r="G82" s="4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5"/>
      <c r="G83" s="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5"/>
      <c r="G84" s="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5"/>
      <c r="G85" s="4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5"/>
      <c r="G86" s="4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5"/>
      <c r="G87" s="4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5"/>
      <c r="G88" s="4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5"/>
      <c r="G89" s="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5"/>
      <c r="G90" s="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5"/>
      <c r="G91" s="4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5"/>
      <c r="G92" s="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5"/>
      <c r="G93" s="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5"/>
      <c r="G94" s="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5"/>
      <c r="G95" s="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5"/>
      <c r="G96" s="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5"/>
      <c r="G97" s="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5"/>
      <c r="G98" s="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5"/>
      <c r="G99" s="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5"/>
      <c r="G100" s="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5"/>
      <c r="G101" s="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5"/>
      <c r="G102" s="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5"/>
      <c r="G103" s="4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5"/>
      <c r="G104" s="4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5"/>
      <c r="G105" s="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5"/>
      <c r="G106" s="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5"/>
      <c r="G107" s="4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5"/>
      <c r="G108" s="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5"/>
      <c r="G109" s="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5"/>
      <c r="G110" s="4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5"/>
      <c r="G111" s="4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5"/>
      <c r="G112" s="4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5"/>
      <c r="G113" s="4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5"/>
      <c r="G114" s="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5"/>
      <c r="G115" s="4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5"/>
      <c r="G116" s="4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5"/>
      <c r="G117" s="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5"/>
      <c r="G118" s="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5"/>
      <c r="G119" s="4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5"/>
      <c r="G120" s="4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5"/>
      <c r="G121" s="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5"/>
      <c r="G122" s="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5"/>
      <c r="G123" s="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5"/>
      <c r="G124" s="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5"/>
      <c r="G125" s="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5"/>
      <c r="G126" s="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5"/>
      <c r="G127" s="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5"/>
      <c r="G128" s="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5"/>
      <c r="G129" s="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5"/>
      <c r="G130" s="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5"/>
      <c r="G131" s="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5"/>
      <c r="G132" s="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5"/>
      <c r="G133" s="4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5"/>
      <c r="G134" s="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5"/>
      <c r="G135" s="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5"/>
      <c r="G136" s="4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5"/>
      <c r="G137" s="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5"/>
      <c r="G138" s="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5"/>
      <c r="G139" s="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5"/>
      <c r="G140" s="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5"/>
      <c r="G141" s="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5"/>
      <c r="G142" s="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5"/>
      <c r="G143" s="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5"/>
      <c r="G144" s="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5"/>
      <c r="G145" s="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5"/>
      <c r="G146" s="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5"/>
      <c r="G147" s="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5"/>
      <c r="G148" s="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5"/>
      <c r="G149" s="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5"/>
      <c r="G150" s="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5"/>
      <c r="G151" s="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5"/>
      <c r="G152" s="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5"/>
      <c r="G153" s="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5"/>
      <c r="G154" s="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5"/>
      <c r="G155" s="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5"/>
      <c r="G156" s="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5"/>
      <c r="G157" s="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5"/>
      <c r="G158" s="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5"/>
      <c r="G159" s="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5"/>
      <c r="G160" s="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5"/>
      <c r="G161" s="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5"/>
      <c r="G162" s="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5"/>
      <c r="G163" s="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5"/>
      <c r="G164" s="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5"/>
      <c r="G165" s="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5"/>
      <c r="G166" s="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5"/>
      <c r="G167" s="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5"/>
      <c r="G168" s="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5"/>
      <c r="G169" s="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5"/>
      <c r="G170" s="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5"/>
      <c r="G171" s="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5"/>
      <c r="G172" s="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5"/>
      <c r="G173" s="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5"/>
      <c r="G174" s="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5"/>
      <c r="G175" s="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5"/>
      <c r="G176" s="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5"/>
      <c r="G177" s="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5"/>
      <c r="G178" s="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5"/>
      <c r="G179" s="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5"/>
      <c r="G180" s="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5"/>
      <c r="G181" s="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5"/>
      <c r="G182" s="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5"/>
      <c r="G183" s="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5"/>
      <c r="G184" s="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5"/>
      <c r="G185" s="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5"/>
      <c r="G186" s="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5"/>
      <c r="G187" s="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5"/>
      <c r="G188" s="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5"/>
      <c r="G189" s="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5"/>
      <c r="G190" s="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5"/>
      <c r="G191" s="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5"/>
      <c r="G192" s="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5"/>
      <c r="G193" s="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5"/>
      <c r="G194" s="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5"/>
      <c r="G195" s="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5"/>
      <c r="G196" s="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5"/>
      <c r="G197" s="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5"/>
      <c r="G198" s="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5"/>
      <c r="G199" s="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5"/>
      <c r="G200" s="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5"/>
      <c r="G201" s="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5"/>
      <c r="G202" s="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5"/>
      <c r="G203" s="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5"/>
      <c r="G204" s="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5"/>
      <c r="G205" s="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5"/>
      <c r="G206" s="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5"/>
      <c r="G207" s="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5"/>
      <c r="G208" s="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5"/>
      <c r="G209" s="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5"/>
      <c r="G210" s="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5"/>
      <c r="G211" s="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5"/>
      <c r="G212" s="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5"/>
      <c r="G213" s="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5"/>
      <c r="G214" s="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5"/>
      <c r="G215" s="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5"/>
      <c r="G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5"/>
      <c r="G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5"/>
      <c r="G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5"/>
      <c r="G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5"/>
      <c r="G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5"/>
      <c r="G221" s="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5"/>
      <c r="G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5"/>
      <c r="G223" s="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5"/>
      <c r="G224" s="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5"/>
      <c r="G225" s="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5"/>
      <c r="G226" s="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5"/>
      <c r="G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5"/>
      <c r="G228" s="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5"/>
      <c r="G229" s="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5"/>
      <c r="G230" s="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5"/>
      <c r="G231" s="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5"/>
      <c r="G232" s="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5"/>
      <c r="G233" s="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5"/>
      <c r="G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5"/>
      <c r="G235" s="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5"/>
      <c r="G236" s="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5"/>
      <c r="G237" s="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5"/>
      <c r="G238" s="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5"/>
      <c r="G239" s="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5"/>
      <c r="G240" s="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5"/>
      <c r="G241" s="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5"/>
      <c r="G242" s="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5"/>
      <c r="G243" s="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5"/>
      <c r="G244" s="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5"/>
      <c r="G245" s="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5"/>
      <c r="G246" s="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5"/>
      <c r="G247" s="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5"/>
      <c r="G248" s="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5"/>
      <c r="G249" s="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5"/>
      <c r="G250" s="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5"/>
      <c r="G251" s="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5"/>
      <c r="G252" s="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5"/>
      <c r="G253" s="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5"/>
      <c r="G254" s="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5"/>
      <c r="G255" s="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5"/>
      <c r="G256" s="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5"/>
      <c r="G257" s="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5"/>
      <c r="G258" s="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5"/>
      <c r="G259" s="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5"/>
      <c r="G260" s="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5"/>
      <c r="G261" s="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5"/>
      <c r="G262" s="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5"/>
      <c r="G263" s="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5"/>
      <c r="G264" s="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5"/>
      <c r="G265" s="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5"/>
      <c r="G266" s="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5"/>
      <c r="G267" s="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5"/>
      <c r="G268" s="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5"/>
      <c r="G269" s="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5"/>
      <c r="G270" s="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5"/>
      <c r="G271" s="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5"/>
      <c r="G272" s="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5"/>
      <c r="G273" s="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5"/>
      <c r="G274" s="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5"/>
      <c r="G275" s="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5"/>
      <c r="G276" s="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5"/>
      <c r="G277" s="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5"/>
      <c r="G278" s="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5"/>
      <c r="G279" s="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5"/>
      <c r="G280" s="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5"/>
      <c r="G281" s="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5"/>
      <c r="G282" s="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5"/>
      <c r="G283" s="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5"/>
      <c r="G284" s="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5"/>
      <c r="G285" s="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5"/>
      <c r="G286" s="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5"/>
      <c r="G287" s="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5"/>
      <c r="G288" s="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5"/>
      <c r="G289" s="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5"/>
      <c r="G290" s="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5"/>
      <c r="G291" s="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5"/>
      <c r="G292" s="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5"/>
      <c r="G293" s="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5"/>
      <c r="G294" s="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5"/>
      <c r="G295" s="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5"/>
      <c r="G296" s="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5"/>
      <c r="G297" s="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5"/>
      <c r="G298" s="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5"/>
      <c r="G299" s="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5"/>
      <c r="G300" s="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5"/>
      <c r="G301" s="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5"/>
      <c r="G302" s="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5"/>
      <c r="G303" s="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5"/>
      <c r="G304" s="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5"/>
      <c r="G305" s="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5"/>
      <c r="G306" s="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5"/>
      <c r="G307" s="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5"/>
      <c r="G308" s="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5"/>
      <c r="G309" s="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5"/>
      <c r="G310" s="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5"/>
      <c r="G311" s="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5"/>
      <c r="G312" s="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5"/>
      <c r="G313" s="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5"/>
      <c r="G314" s="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5"/>
      <c r="G315" s="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5"/>
      <c r="G316" s="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5"/>
      <c r="G317" s="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5"/>
      <c r="G318" s="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5"/>
      <c r="G319" s="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5"/>
      <c r="G320" s="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5"/>
      <c r="G321" s="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5"/>
      <c r="G322" s="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5"/>
      <c r="G323" s="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5"/>
      <c r="G324" s="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5"/>
      <c r="G325" s="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5"/>
      <c r="G326" s="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5"/>
      <c r="G327" s="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5"/>
      <c r="G328" s="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5"/>
      <c r="G329" s="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5"/>
      <c r="G330" s="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5"/>
      <c r="G331" s="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5"/>
      <c r="G332" s="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5"/>
      <c r="G333" s="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5"/>
      <c r="G334" s="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5"/>
      <c r="G335" s="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5"/>
      <c r="G336" s="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5"/>
      <c r="G337" s="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5"/>
      <c r="G338" s="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5"/>
      <c r="G339" s="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5"/>
      <c r="G340" s="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5"/>
      <c r="G341" s="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5"/>
      <c r="G342" s="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5"/>
      <c r="G343" s="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5"/>
      <c r="G344" s="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5"/>
      <c r="G345" s="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5"/>
      <c r="G346" s="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5"/>
      <c r="G347" s="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5"/>
      <c r="G348" s="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5"/>
      <c r="G349" s="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5"/>
      <c r="G350" s="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5"/>
      <c r="G351" s="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5"/>
      <c r="G352" s="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5"/>
      <c r="G353" s="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5"/>
      <c r="G354" s="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5"/>
      <c r="G355" s="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5"/>
      <c r="G356" s="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5"/>
      <c r="G357" s="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5"/>
      <c r="G358" s="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5"/>
      <c r="G359" s="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5"/>
      <c r="G360" s="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5"/>
      <c r="G361" s="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5"/>
      <c r="G362" s="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5"/>
      <c r="G363" s="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5"/>
      <c r="G364" s="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5"/>
      <c r="G365" s="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5"/>
      <c r="G366" s="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5"/>
      <c r="G367" s="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5"/>
      <c r="G368" s="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5"/>
      <c r="G369" s="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5"/>
      <c r="G370" s="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5"/>
      <c r="G371" s="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5"/>
      <c r="G372" s="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5"/>
      <c r="G373" s="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5"/>
      <c r="G374" s="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5"/>
      <c r="G375" s="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5"/>
      <c r="G376" s="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5"/>
      <c r="G377" s="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5"/>
      <c r="G378" s="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5"/>
      <c r="G379" s="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5"/>
      <c r="G380" s="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5"/>
      <c r="G381" s="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5"/>
      <c r="G382" s="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5"/>
      <c r="G383" s="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5"/>
      <c r="G384" s="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5"/>
      <c r="G385" s="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5"/>
      <c r="G386" s="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5"/>
      <c r="G387" s="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5"/>
      <c r="G388" s="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5"/>
      <c r="G389" s="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5"/>
      <c r="G390" s="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5"/>
      <c r="G391" s="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5"/>
      <c r="G392" s="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5"/>
      <c r="G393" s="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5"/>
      <c r="G394" s="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5"/>
      <c r="G395" s="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5"/>
      <c r="G396" s="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5"/>
      <c r="G397" s="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5"/>
      <c r="G398" s="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5"/>
      <c r="G399" s="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5"/>
      <c r="G400" s="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5"/>
      <c r="G401" s="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5"/>
      <c r="G402" s="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5"/>
      <c r="G403" s="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5"/>
      <c r="G404" s="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5"/>
      <c r="G405" s="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5"/>
      <c r="G406" s="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5"/>
      <c r="G407" s="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5"/>
      <c r="G408" s="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5"/>
      <c r="G409" s="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5"/>
      <c r="G410" s="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5"/>
      <c r="G411" s="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5"/>
      <c r="G412" s="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5"/>
      <c r="G413" s="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5"/>
      <c r="G414" s="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5"/>
      <c r="G415" s="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5"/>
      <c r="G416" s="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5"/>
      <c r="G417" s="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5"/>
      <c r="G418" s="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5"/>
      <c r="G419" s="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5"/>
      <c r="G420" s="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5"/>
      <c r="G421" s="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5"/>
      <c r="G422" s="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5"/>
      <c r="G423" s="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5"/>
      <c r="G424" s="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5"/>
      <c r="G425" s="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5"/>
      <c r="G426" s="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5"/>
      <c r="G427" s="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5"/>
      <c r="G428" s="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5"/>
      <c r="G429" s="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5"/>
      <c r="G430" s="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5"/>
      <c r="G431" s="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5"/>
      <c r="G432" s="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5"/>
      <c r="G433" s="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5"/>
      <c r="G434" s="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5"/>
      <c r="G435" s="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5"/>
      <c r="G436" s="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5"/>
      <c r="G437" s="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5"/>
      <c r="G438" s="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5"/>
      <c r="G439" s="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5"/>
      <c r="G440" s="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5"/>
      <c r="G441" s="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5"/>
      <c r="G442" s="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5"/>
      <c r="G443" s="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5"/>
      <c r="G444" s="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5"/>
      <c r="G445" s="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5"/>
      <c r="G446" s="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5"/>
      <c r="G447" s="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5"/>
      <c r="G448" s="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5"/>
      <c r="G449" s="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5"/>
      <c r="G450" s="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5"/>
      <c r="G451" s="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5"/>
      <c r="G452" s="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5"/>
      <c r="G453" s="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5"/>
      <c r="G454" s="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5"/>
      <c r="G455" s="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5"/>
      <c r="G456" s="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5"/>
      <c r="G457" s="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5"/>
      <c r="G458" s="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5"/>
      <c r="G459" s="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5"/>
      <c r="G460" s="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5"/>
      <c r="G461" s="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5"/>
      <c r="G462" s="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5"/>
      <c r="G463" s="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5"/>
      <c r="G464" s="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5"/>
      <c r="G465" s="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5"/>
      <c r="G466" s="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5"/>
      <c r="G467" s="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5"/>
      <c r="G468" s="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5"/>
      <c r="G469" s="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5"/>
      <c r="G470" s="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5"/>
      <c r="G471" s="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5"/>
      <c r="G472" s="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5"/>
      <c r="G473" s="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5"/>
      <c r="G474" s="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5"/>
      <c r="G475" s="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5"/>
      <c r="G476" s="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5"/>
      <c r="G477" s="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5"/>
      <c r="G478" s="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5"/>
      <c r="G479" s="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5"/>
      <c r="G480" s="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5"/>
      <c r="G481" s="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5"/>
      <c r="G482" s="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5"/>
      <c r="G483" s="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5"/>
      <c r="G484" s="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5"/>
      <c r="G485" s="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5"/>
      <c r="G486" s="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5"/>
      <c r="G487" s="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5"/>
      <c r="G488" s="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5"/>
      <c r="G489" s="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5"/>
      <c r="G490" s="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5"/>
      <c r="G491" s="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5"/>
      <c r="G492" s="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5"/>
      <c r="G493" s="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5"/>
      <c r="G494" s="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5"/>
      <c r="G495" s="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5"/>
      <c r="G496" s="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5"/>
      <c r="G497" s="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5"/>
      <c r="G498" s="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5"/>
      <c r="G499" s="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5"/>
      <c r="G500" s="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5"/>
      <c r="G501" s="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5"/>
      <c r="G502" s="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5"/>
      <c r="G503" s="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5"/>
      <c r="G504" s="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5"/>
      <c r="G505" s="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5"/>
      <c r="G506" s="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5"/>
      <c r="G507" s="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5"/>
      <c r="G508" s="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5"/>
      <c r="G509" s="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5"/>
      <c r="G510" s="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5"/>
      <c r="G511" s="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5"/>
      <c r="G512" s="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5"/>
      <c r="G513" s="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5"/>
      <c r="G514" s="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5"/>
      <c r="G515" s="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5"/>
      <c r="G516" s="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5"/>
      <c r="G517" s="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5"/>
      <c r="G518" s="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5"/>
      <c r="G519" s="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5"/>
      <c r="G520" s="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5"/>
      <c r="G521" s="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5"/>
      <c r="G522" s="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5"/>
      <c r="G523" s="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5"/>
      <c r="G524" s="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5"/>
      <c r="G525" s="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5"/>
      <c r="G526" s="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5"/>
      <c r="G527" s="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5"/>
      <c r="G528" s="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5"/>
      <c r="G529" s="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5"/>
      <c r="G530" s="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5"/>
      <c r="G531" s="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5"/>
      <c r="G532" s="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5"/>
      <c r="G533" s="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5"/>
      <c r="G534" s="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5"/>
      <c r="G535" s="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5"/>
      <c r="G536" s="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5"/>
      <c r="G537" s="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5"/>
      <c r="G538" s="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5"/>
      <c r="G539" s="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5"/>
      <c r="G540" s="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5"/>
      <c r="G541" s="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5"/>
      <c r="G542" s="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5"/>
      <c r="G543" s="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5"/>
      <c r="G544" s="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5"/>
      <c r="G545" s="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5"/>
      <c r="G546" s="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5"/>
      <c r="G547" s="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5"/>
      <c r="G548" s="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5"/>
      <c r="G549" s="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5"/>
      <c r="G550" s="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5"/>
      <c r="G551" s="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5"/>
      <c r="G552" s="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5"/>
      <c r="G553" s="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5"/>
      <c r="G554" s="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5"/>
      <c r="G555" s="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5"/>
      <c r="G556" s="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5"/>
      <c r="G557" s="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5"/>
      <c r="G558" s="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5"/>
      <c r="G559" s="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5"/>
      <c r="G560" s="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5"/>
      <c r="G561" s="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5"/>
      <c r="G562" s="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5"/>
      <c r="G563" s="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5"/>
      <c r="G564" s="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5"/>
      <c r="G565" s="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5"/>
      <c r="G566" s="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5"/>
      <c r="G567" s="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5"/>
      <c r="G568" s="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5"/>
      <c r="G569" s="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5"/>
      <c r="G570" s="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5"/>
      <c r="G571" s="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5"/>
      <c r="G572" s="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5"/>
      <c r="G573" s="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5"/>
      <c r="G574" s="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5"/>
      <c r="G575" s="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5"/>
      <c r="G576" s="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5"/>
      <c r="G577" s="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5"/>
      <c r="G578" s="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5"/>
      <c r="G579" s="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5"/>
      <c r="G580" s="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5"/>
      <c r="G581" s="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5"/>
      <c r="G582" s="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5"/>
      <c r="G583" s="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5"/>
      <c r="G584" s="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5"/>
      <c r="G585" s="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5"/>
      <c r="G586" s="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5"/>
      <c r="G587" s="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5"/>
      <c r="G588" s="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5"/>
      <c r="G589" s="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5"/>
      <c r="G590" s="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5"/>
      <c r="G591" s="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5"/>
      <c r="G592" s="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5"/>
      <c r="G593" s="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5"/>
      <c r="G594" s="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5"/>
      <c r="G595" s="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5"/>
      <c r="G596" s="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5"/>
      <c r="G597" s="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5"/>
      <c r="G598" s="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5"/>
      <c r="G599" s="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5"/>
      <c r="G600" s="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5"/>
      <c r="G601" s="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5"/>
      <c r="G602" s="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5"/>
      <c r="G603" s="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5"/>
      <c r="G604" s="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5"/>
      <c r="G605" s="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5"/>
      <c r="G606" s="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5"/>
      <c r="G607" s="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5"/>
      <c r="G608" s="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5"/>
      <c r="G609" s="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5"/>
      <c r="G610" s="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5"/>
      <c r="G611" s="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5"/>
      <c r="G612" s="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5"/>
      <c r="G613" s="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5"/>
      <c r="G614" s="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5"/>
      <c r="G615" s="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5"/>
      <c r="G616" s="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5"/>
      <c r="G617" s="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5"/>
      <c r="G618" s="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5"/>
      <c r="G619" s="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5"/>
      <c r="G620" s="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5"/>
      <c r="G621" s="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5"/>
      <c r="G622" s="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5"/>
      <c r="G623" s="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5"/>
      <c r="G624" s="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5"/>
      <c r="G625" s="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5"/>
      <c r="G626" s="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5"/>
      <c r="G627" s="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5"/>
      <c r="G628" s="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5"/>
      <c r="G629" s="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5"/>
      <c r="G630" s="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5"/>
      <c r="G631" s="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5"/>
      <c r="G632" s="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5"/>
      <c r="G633" s="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5"/>
      <c r="G634" s="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5"/>
      <c r="G635" s="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5"/>
      <c r="G636" s="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5"/>
      <c r="G637" s="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5"/>
      <c r="G638" s="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5"/>
      <c r="G639" s="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5"/>
      <c r="G640" s="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5"/>
      <c r="G641" s="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5"/>
      <c r="G642" s="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5"/>
      <c r="G643" s="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5"/>
      <c r="G644" s="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5"/>
      <c r="G645" s="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5"/>
      <c r="G646" s="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5"/>
      <c r="G647" s="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5"/>
      <c r="G648" s="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5"/>
      <c r="G649" s="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5"/>
      <c r="G650" s="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5"/>
      <c r="G651" s="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5"/>
      <c r="G652" s="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5"/>
      <c r="G653" s="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5"/>
      <c r="G654" s="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5"/>
      <c r="G655" s="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5"/>
      <c r="G656" s="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5"/>
      <c r="G657" s="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5"/>
      <c r="G658" s="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5"/>
      <c r="G659" s="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5"/>
      <c r="G660" s="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5"/>
      <c r="G661" s="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5"/>
      <c r="G662" s="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5"/>
      <c r="G663" s="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5"/>
      <c r="G664" s="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5"/>
      <c r="G665" s="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5"/>
      <c r="G666" s="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5"/>
      <c r="G667" s="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5"/>
      <c r="G668" s="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5"/>
      <c r="G669" s="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5"/>
      <c r="G670" s="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5"/>
      <c r="G671" s="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5"/>
      <c r="G672" s="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5"/>
      <c r="G673" s="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5"/>
      <c r="G674" s="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5"/>
      <c r="G675" s="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5"/>
      <c r="G676" s="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5"/>
      <c r="G677" s="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5"/>
      <c r="G678" s="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5"/>
      <c r="G679" s="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5"/>
      <c r="G680" s="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5"/>
      <c r="G681" s="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5"/>
      <c r="G682" s="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5"/>
      <c r="G683" s="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5"/>
      <c r="G684" s="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5"/>
      <c r="G685" s="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5"/>
      <c r="G686" s="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5"/>
      <c r="G687" s="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5"/>
      <c r="G688" s="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5"/>
      <c r="G689" s="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5"/>
      <c r="G690" s="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5"/>
      <c r="G691" s="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5"/>
      <c r="G692" s="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5"/>
      <c r="G693" s="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5"/>
      <c r="G694" s="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5"/>
      <c r="G695" s="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5"/>
      <c r="G696" s="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5"/>
      <c r="G697" s="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5"/>
      <c r="G698" s="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5"/>
      <c r="G699" s="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5"/>
      <c r="G700" s="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5"/>
      <c r="G701" s="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5"/>
      <c r="G702" s="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5"/>
      <c r="G703" s="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5"/>
      <c r="G704" s="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5"/>
      <c r="G705" s="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5"/>
      <c r="G706" s="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5"/>
      <c r="G707" s="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5"/>
      <c r="G708" s="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5"/>
      <c r="G709" s="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5"/>
      <c r="G710" s="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5"/>
      <c r="G711" s="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5"/>
      <c r="G712" s="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5"/>
      <c r="G713" s="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5"/>
      <c r="G714" s="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5"/>
      <c r="G715" s="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5"/>
      <c r="G716" s="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5"/>
      <c r="G717" s="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5"/>
      <c r="G718" s="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5"/>
      <c r="G719" s="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5"/>
      <c r="G720" s="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5"/>
      <c r="G721" s="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5"/>
      <c r="G722" s="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5"/>
      <c r="G723" s="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5"/>
      <c r="G724" s="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5"/>
      <c r="G725" s="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5"/>
      <c r="G726" s="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5"/>
      <c r="G727" s="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5"/>
      <c r="G728" s="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5"/>
      <c r="G729" s="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5"/>
      <c r="G730" s="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5"/>
      <c r="G731" s="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5"/>
      <c r="G732" s="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5"/>
      <c r="G733" s="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5"/>
      <c r="G734" s="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5"/>
      <c r="G735" s="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5"/>
      <c r="G736" s="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5"/>
      <c r="G737" s="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5"/>
      <c r="G738" s="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5"/>
      <c r="G739" s="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5"/>
      <c r="G740" s="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5"/>
      <c r="G741" s="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5"/>
      <c r="G742" s="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5"/>
      <c r="G743" s="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5"/>
      <c r="G744" s="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5"/>
      <c r="G745" s="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5"/>
      <c r="G746" s="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5"/>
      <c r="G747" s="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5"/>
      <c r="G748" s="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5"/>
      <c r="G749" s="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5"/>
      <c r="G750" s="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5"/>
      <c r="G751" s="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5"/>
      <c r="G752" s="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5"/>
      <c r="G753" s="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5"/>
      <c r="G754" s="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5"/>
      <c r="G755" s="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5"/>
      <c r="G756" s="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5"/>
      <c r="G757" s="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5"/>
      <c r="G758" s="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5"/>
      <c r="G759" s="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5"/>
      <c r="G760" s="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5"/>
      <c r="G761" s="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5"/>
      <c r="G762" s="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5"/>
      <c r="G763" s="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5"/>
      <c r="G764" s="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5"/>
      <c r="G765" s="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5"/>
      <c r="G766" s="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5"/>
      <c r="G767" s="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5"/>
      <c r="G768" s="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5"/>
      <c r="G769" s="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5"/>
      <c r="G770" s="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5"/>
      <c r="G771" s="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5"/>
      <c r="G772" s="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5"/>
      <c r="G773" s="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5"/>
      <c r="G774" s="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5"/>
      <c r="G775" s="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5"/>
      <c r="G776" s="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5"/>
      <c r="G777" s="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5"/>
      <c r="G778" s="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5"/>
      <c r="G779" s="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5"/>
      <c r="G780" s="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5"/>
      <c r="G781" s="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5"/>
      <c r="G782" s="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5"/>
      <c r="G783" s="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5"/>
      <c r="G784" s="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5"/>
      <c r="G785" s="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5"/>
      <c r="G786" s="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5"/>
      <c r="G787" s="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5"/>
      <c r="G788" s="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5"/>
      <c r="G789" s="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5"/>
      <c r="G790" s="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5"/>
      <c r="G791" s="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5"/>
      <c r="G792" s="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5"/>
      <c r="G793" s="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5"/>
      <c r="G794" s="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5"/>
      <c r="G795" s="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5"/>
      <c r="G796" s="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5"/>
      <c r="G797" s="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5"/>
      <c r="G798" s="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5"/>
      <c r="G799" s="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5"/>
      <c r="G800" s="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5"/>
      <c r="G801" s="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5"/>
      <c r="G802" s="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5"/>
      <c r="G803" s="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5"/>
      <c r="G804" s="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5"/>
      <c r="G805" s="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5"/>
      <c r="G806" s="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5"/>
      <c r="G807" s="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5"/>
      <c r="G808" s="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5"/>
      <c r="G809" s="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5"/>
      <c r="G810" s="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5"/>
      <c r="G811" s="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5"/>
      <c r="G812" s="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5"/>
      <c r="G813" s="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5"/>
      <c r="G814" s="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5"/>
      <c r="G815" s="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5"/>
      <c r="G816" s="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5"/>
      <c r="G817" s="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5"/>
      <c r="G818" s="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5"/>
      <c r="G819" s="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5"/>
      <c r="G820" s="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5"/>
      <c r="G821" s="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5"/>
      <c r="G822" s="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5"/>
      <c r="G823" s="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5"/>
      <c r="G824" s="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5"/>
      <c r="G825" s="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5"/>
      <c r="G826" s="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5"/>
      <c r="G827" s="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5"/>
      <c r="G828" s="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5"/>
      <c r="G829" s="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5"/>
      <c r="G830" s="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5"/>
      <c r="G831" s="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5"/>
      <c r="G832" s="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5"/>
      <c r="G833" s="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5"/>
      <c r="G834" s="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5"/>
      <c r="G835" s="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5"/>
      <c r="G836" s="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5"/>
      <c r="G837" s="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5"/>
      <c r="G838" s="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5"/>
      <c r="G839" s="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5"/>
      <c r="G840" s="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5"/>
      <c r="G841" s="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5"/>
      <c r="G842" s="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5"/>
      <c r="G843" s="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5"/>
      <c r="G844" s="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5"/>
      <c r="G845" s="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5"/>
      <c r="G846" s="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5"/>
      <c r="G847" s="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5"/>
      <c r="G848" s="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5"/>
      <c r="G849" s="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5"/>
      <c r="G850" s="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5"/>
      <c r="G851" s="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5"/>
      <c r="G852" s="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5"/>
      <c r="G853" s="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5"/>
      <c r="G854" s="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5"/>
      <c r="G855" s="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5"/>
      <c r="G856" s="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5"/>
      <c r="G857" s="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5"/>
      <c r="G858" s="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5"/>
      <c r="G859" s="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5"/>
      <c r="G860" s="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5"/>
      <c r="G861" s="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5"/>
      <c r="G862" s="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5"/>
      <c r="G863" s="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5"/>
      <c r="G864" s="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5"/>
      <c r="G865" s="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5"/>
      <c r="G866" s="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5"/>
      <c r="G867" s="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5"/>
      <c r="G868" s="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5"/>
      <c r="G869" s="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5"/>
      <c r="G870" s="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5"/>
      <c r="G871" s="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5"/>
      <c r="G872" s="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5"/>
      <c r="G873" s="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5"/>
      <c r="G874" s="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5"/>
      <c r="G875" s="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5"/>
      <c r="G876" s="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5"/>
      <c r="G877" s="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5"/>
      <c r="G878" s="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5"/>
      <c r="G879" s="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5"/>
      <c r="G880" s="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5"/>
      <c r="G881" s="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5"/>
      <c r="G882" s="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5"/>
      <c r="G883" s="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5"/>
      <c r="G884" s="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5"/>
      <c r="G885" s="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5"/>
      <c r="G886" s="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5"/>
      <c r="G887" s="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5"/>
      <c r="G888" s="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5"/>
      <c r="G889" s="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5"/>
      <c r="G890" s="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5"/>
      <c r="G891" s="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5"/>
      <c r="G892" s="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5"/>
      <c r="G893" s="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5"/>
      <c r="G894" s="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5"/>
      <c r="G895" s="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5"/>
      <c r="G896" s="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5"/>
      <c r="G897" s="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5"/>
      <c r="G898" s="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5"/>
      <c r="G899" s="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5"/>
      <c r="G900" s="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5"/>
      <c r="G901" s="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5"/>
      <c r="G902" s="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5"/>
      <c r="G903" s="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5"/>
      <c r="G904" s="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5"/>
      <c r="G905" s="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5"/>
      <c r="G906" s="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5"/>
      <c r="G907" s="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5"/>
      <c r="G908" s="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5"/>
      <c r="G909" s="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5"/>
      <c r="G910" s="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5"/>
      <c r="G911" s="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5"/>
      <c r="G912" s="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5"/>
      <c r="G913" s="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5"/>
      <c r="G914" s="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5"/>
      <c r="G915" s="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5"/>
      <c r="G916" s="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5"/>
      <c r="G917" s="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5"/>
      <c r="G918" s="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5"/>
      <c r="G919" s="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5"/>
      <c r="G920" s="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5"/>
      <c r="G921" s="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5"/>
      <c r="G922" s="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5"/>
      <c r="G923" s="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5"/>
      <c r="G924" s="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5"/>
      <c r="G925" s="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5"/>
      <c r="G926" s="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5"/>
      <c r="G927" s="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5"/>
      <c r="G928" s="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5"/>
      <c r="G929" s="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5"/>
      <c r="G930" s="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5"/>
      <c r="G931" s="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5"/>
      <c r="G932" s="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5"/>
      <c r="G933" s="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5"/>
      <c r="G934" s="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5"/>
      <c r="G935" s="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5"/>
      <c r="G936" s="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5"/>
      <c r="G937" s="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5"/>
      <c r="G938" s="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5"/>
      <c r="G939" s="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5"/>
      <c r="G940" s="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5"/>
      <c r="G941" s="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5"/>
      <c r="G942" s="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5"/>
      <c r="G943" s="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5"/>
      <c r="G944" s="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5"/>
      <c r="G945" s="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5"/>
      <c r="G946" s="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5"/>
      <c r="G947" s="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5"/>
      <c r="G948" s="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5"/>
      <c r="G949" s="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5"/>
      <c r="G950" s="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5"/>
      <c r="G951" s="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5"/>
      <c r="G952" s="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5"/>
      <c r="G953" s="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5"/>
      <c r="G954" s="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5"/>
      <c r="G955" s="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5"/>
      <c r="G956" s="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5"/>
      <c r="G957" s="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5"/>
      <c r="G958" s="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5"/>
      <c r="G959" s="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5"/>
      <c r="G960" s="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5"/>
      <c r="G961" s="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5"/>
      <c r="G962" s="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5"/>
      <c r="G963" s="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5"/>
      <c r="G964" s="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5"/>
      <c r="G965" s="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5"/>
      <c r="G966" s="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5"/>
      <c r="G967" s="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</sheetData>
  <mergeCells count="21">
    <mergeCell ref="G7:G8"/>
    <mergeCell ref="G22:G23"/>
    <mergeCell ref="H22:H23"/>
    <mergeCell ref="I22:I23"/>
    <mergeCell ref="B17:B37"/>
    <mergeCell ref="B39:B46"/>
    <mergeCell ref="I5:I16"/>
    <mergeCell ref="I39:I46"/>
    <mergeCell ref="I49:I55"/>
    <mergeCell ref="B56:E56"/>
    <mergeCell ref="B60:E60"/>
    <mergeCell ref="F52:F53"/>
    <mergeCell ref="E48:E55"/>
    <mergeCell ref="B49:B55"/>
    <mergeCell ref="A3:E3"/>
    <mergeCell ref="B5:B10"/>
    <mergeCell ref="H7:H8"/>
    <mergeCell ref="B11:B16"/>
    <mergeCell ref="H11:H16"/>
    <mergeCell ref="B38:E38"/>
    <mergeCell ref="E39:E46"/>
  </mergeCells>
  <hyperlinks>
    <hyperlink r:id="rId2" ref="I17"/>
    <hyperlink r:id="rId3" ref="H18"/>
    <hyperlink r:id="rId4" ref="I18"/>
    <hyperlink r:id="rId5" ref="I19"/>
    <hyperlink r:id="rId6" ref="I20"/>
    <hyperlink r:id="rId7" ref="I21"/>
    <hyperlink r:id="rId8" ref="I22"/>
    <hyperlink r:id="rId9" ref="I24"/>
    <hyperlink r:id="rId10" ref="I25"/>
    <hyperlink r:id="rId11" ref="I26"/>
    <hyperlink r:id="rId12" ref="I28"/>
    <hyperlink r:id="rId13" ref="I30"/>
    <hyperlink r:id="rId14" ref="I31"/>
    <hyperlink r:id="rId15" ref="I32"/>
    <hyperlink r:id="rId16" ref="I34"/>
    <hyperlink r:id="rId17" ref="I35"/>
    <hyperlink r:id="rId18" ref="I36"/>
    <hyperlink r:id="rId19" ref="I37"/>
    <hyperlink r:id="rId20" ref="I58"/>
    <hyperlink r:id="rId21" ref="I59"/>
  </hyperlinks>
  <printOptions/>
  <pageMargins bottom="0.75" footer="0.0" header="0.0" left="0.7" right="0.7" top="0.75"/>
  <pageSetup paperSize="9" orientation="portrait"/>
  <drawing r:id="rId22"/>
  <legacy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xingming gan</dc:creator>
</cp:coreProperties>
</file>